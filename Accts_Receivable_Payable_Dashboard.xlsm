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VBA\Professional Templates\Receivables and payables DB\"/>
    </mc:Choice>
  </mc:AlternateContent>
  <xr:revisionPtr revIDLastSave="0" documentId="13_ncr:1_{01F1E492-3373-4ACE-96C9-2FB66EECAD7C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373BEB74-3A87-43F7-B08E-FCDA606155DE}"/>
  </bookViews>
  <sheets>
    <sheet name="Dashboard" sheetId="5" r:id="rId1"/>
    <sheet name="Pivots" sheetId="6" r:id="rId2"/>
    <sheet name="Bills" sheetId="2" r:id="rId3"/>
    <sheet name="Invoices" sheetId="4" r:id="rId4"/>
    <sheet name="Pivot Data" sheetId="3" r:id="rId5"/>
  </sheets>
  <externalReferences>
    <externalReference r:id="rId6"/>
  </externalReferences>
  <definedNames>
    <definedName name="_xleta.COUNT" hidden="1" xlm="1">#NAME?</definedName>
    <definedName name="_xleta.TODAY" hidden="1" xlm="1">#NAME?</definedName>
    <definedName name="_xleta.YEAR" hidden="1" xlm="1">#NAME?</definedName>
    <definedName name="Categories">OFFSET('[1]Admin &amp; Settings'!$C$10,1,,COUNTA('[1]Admin &amp; Settings'!$C$10:$C$33)-1,1)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2" i="6" l="1"/>
  <c r="K32" i="6" s="1"/>
  <c r="J33" i="6"/>
  <c r="K33" i="6" s="1"/>
  <c r="J31" i="6"/>
  <c r="K31" i="6" s="1"/>
  <c r="J30" i="6"/>
  <c r="K30" i="6" s="1"/>
  <c r="N23" i="3"/>
  <c r="J16" i="6"/>
  <c r="I25" i="6"/>
  <c r="I24" i="6"/>
  <c r="N18" i="3"/>
  <c r="J25" i="6"/>
  <c r="J24" i="6"/>
  <c r="I21" i="6"/>
  <c r="J21" i="6"/>
  <c r="O15" i="3"/>
  <c r="J20" i="6"/>
  <c r="O14" i="3"/>
  <c r="J19" i="6"/>
  <c r="O13" i="3"/>
  <c r="J17" i="6"/>
  <c r="I8" i="2"/>
  <c r="I5" i="2"/>
  <c r="I4" i="2"/>
  <c r="K4" i="4"/>
  <c r="K5" i="4"/>
  <c r="O11" i="3"/>
  <c r="O19" i="3" l="1"/>
  <c r="O18" i="3"/>
  <c r="N15" i="3"/>
  <c r="O10" i="3"/>
  <c r="L41" i="2"/>
  <c r="M41" i="2" s="1"/>
  <c r="L40" i="2"/>
  <c r="M40" i="2" s="1"/>
  <c r="L39" i="2"/>
  <c r="M39" i="2" s="1"/>
  <c r="L38" i="2"/>
  <c r="M38" i="2" s="1"/>
  <c r="L37" i="2"/>
  <c r="M37" i="2" s="1"/>
  <c r="L27" i="2"/>
  <c r="M27" i="2" s="1"/>
  <c r="L28" i="2"/>
  <c r="M28" i="2" s="1"/>
  <c r="L29" i="2"/>
  <c r="M29" i="2" s="1"/>
  <c r="L30" i="2"/>
  <c r="M30" i="2" s="1"/>
  <c r="L31" i="2"/>
  <c r="M31" i="2" s="1"/>
  <c r="L26" i="2"/>
  <c r="M26" i="2" s="1"/>
  <c r="I24" i="2"/>
  <c r="M24" i="2"/>
  <c r="I25" i="2"/>
  <c r="M25" i="2"/>
  <c r="I26" i="2"/>
  <c r="K26" i="2" s="1"/>
  <c r="I27" i="2"/>
  <c r="K27" i="2" s="1"/>
  <c r="I28" i="2"/>
  <c r="K28" i="2" s="1"/>
  <c r="I29" i="2"/>
  <c r="I30" i="2"/>
  <c r="I31" i="2"/>
  <c r="I32" i="2"/>
  <c r="M32" i="2"/>
  <c r="I33" i="2"/>
  <c r="M33" i="2"/>
  <c r="I34" i="2"/>
  <c r="M34" i="2"/>
  <c r="I35" i="2"/>
  <c r="M35" i="2"/>
  <c r="I36" i="2"/>
  <c r="M36" i="2"/>
  <c r="I37" i="2"/>
  <c r="K37" i="2" s="1"/>
  <c r="I38" i="2"/>
  <c r="K38" i="2" s="1"/>
  <c r="I39" i="2"/>
  <c r="K39" i="2" s="1"/>
  <c r="I40" i="2"/>
  <c r="I41" i="2"/>
  <c r="J28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4" i="4"/>
  <c r="F29" i="4"/>
  <c r="J29" i="4"/>
  <c r="K29" i="4" l="1"/>
  <c r="I13" i="4"/>
  <c r="I4" i="4"/>
  <c r="B5" i="4"/>
  <c r="B6" i="4" s="1"/>
  <c r="M23" i="2"/>
  <c r="I23" i="2"/>
  <c r="M22" i="2"/>
  <c r="I22" i="2"/>
  <c r="M21" i="2"/>
  <c r="I21" i="2"/>
  <c r="M20" i="2"/>
  <c r="I20" i="2"/>
  <c r="M19" i="2"/>
  <c r="I19" i="2"/>
  <c r="M18" i="2"/>
  <c r="I18" i="2"/>
  <c r="M17" i="2"/>
  <c r="I17" i="2"/>
  <c r="K17" i="2" s="1"/>
  <c r="M16" i="2"/>
  <c r="I16" i="2"/>
  <c r="K16" i="2" s="1"/>
  <c r="M15" i="2"/>
  <c r="I15" i="2"/>
  <c r="K15" i="2" s="1"/>
  <c r="M14" i="2"/>
  <c r="I14" i="2"/>
  <c r="M13" i="2"/>
  <c r="I13" i="2"/>
  <c r="M12" i="2"/>
  <c r="I12" i="2"/>
  <c r="K12" i="2" s="1"/>
  <c r="M11" i="2"/>
  <c r="I11" i="2"/>
  <c r="K11" i="2" s="1"/>
  <c r="M10" i="2"/>
  <c r="I10" i="2"/>
  <c r="M9" i="2"/>
  <c r="I9" i="2"/>
  <c r="K9" i="2" s="1"/>
  <c r="M8" i="2"/>
  <c r="M7" i="2"/>
  <c r="I7" i="2"/>
  <c r="K7" i="2" s="1"/>
  <c r="M6" i="2"/>
  <c r="I6" i="2"/>
  <c r="K6" i="2" s="1"/>
  <c r="M5" i="2"/>
  <c r="M4" i="2"/>
  <c r="J18" i="6" l="1"/>
  <c r="O12" i="3"/>
  <c r="O23" i="3"/>
  <c r="N26" i="3"/>
  <c r="O26" i="3" s="1"/>
  <c r="N24" i="3"/>
  <c r="O24" i="3" s="1"/>
  <c r="N25" i="3"/>
  <c r="O25" i="3" s="1"/>
  <c r="B7" i="4"/>
  <c r="K6" i="4"/>
  <c r="B8" i="4" l="1"/>
  <c r="K7" i="4" l="1"/>
  <c r="H7" i="4"/>
  <c r="B9" i="4"/>
  <c r="F8" i="4"/>
  <c r="K8" i="4" l="1"/>
  <c r="H8" i="4"/>
  <c r="B10" i="4"/>
  <c r="F9" i="4"/>
  <c r="K9" i="4" l="1"/>
  <c r="H9" i="4"/>
  <c r="B11" i="4"/>
  <c r="F10" i="4"/>
  <c r="K10" i="4" s="1"/>
  <c r="B12" i="4" l="1"/>
  <c r="F11" i="4"/>
  <c r="K11" i="4" s="1"/>
  <c r="B13" i="4" l="1"/>
  <c r="F12" i="4"/>
  <c r="K12" i="4" s="1"/>
  <c r="B14" i="4" l="1"/>
  <c r="F13" i="4"/>
  <c r="K13" i="4" l="1"/>
  <c r="H13" i="4"/>
  <c r="B15" i="4"/>
  <c r="F14" i="4"/>
  <c r="K14" i="4" s="1"/>
  <c r="B16" i="4" l="1"/>
  <c r="F15" i="4"/>
  <c r="K15" i="4" l="1"/>
  <c r="H15" i="4"/>
  <c r="B17" i="4"/>
  <c r="F16" i="4"/>
  <c r="K16" i="4" l="1"/>
  <c r="H16" i="4"/>
  <c r="B18" i="4"/>
  <c r="F17" i="4"/>
  <c r="K17" i="4" l="1"/>
  <c r="H17" i="4"/>
  <c r="B19" i="4"/>
  <c r="F18" i="4"/>
  <c r="K18" i="4" l="1"/>
  <c r="H18" i="4"/>
  <c r="B20" i="4"/>
  <c r="F19" i="4"/>
  <c r="K19" i="4" s="1"/>
  <c r="B21" i="4" l="1"/>
  <c r="F20" i="4"/>
  <c r="K20" i="4" l="1"/>
  <c r="H20" i="4"/>
  <c r="F21" i="4"/>
  <c r="K21" i="4" s="1"/>
  <c r="B22" i="4"/>
  <c r="B23" i="4" l="1"/>
  <c r="F22" i="4"/>
  <c r="K22" i="4" l="1"/>
  <c r="H22" i="4"/>
  <c r="F23" i="4"/>
  <c r="K23" i="4" s="1"/>
  <c r="B24" i="4"/>
  <c r="F24" i="4" l="1"/>
  <c r="K24" i="4" s="1"/>
  <c r="B25" i="4"/>
  <c r="B26" i="4" l="1"/>
  <c r="F25" i="4"/>
  <c r="K25" i="4" l="1"/>
  <c r="H25" i="4"/>
  <c r="B27" i="4"/>
  <c r="F26" i="4"/>
  <c r="K26" i="4" l="1"/>
  <c r="H26" i="4"/>
  <c r="B28" i="4"/>
  <c r="F28" i="4" s="1"/>
  <c r="H28" i="4" s="1"/>
  <c r="F27" i="4"/>
  <c r="N19" i="3" l="1"/>
  <c r="K28" i="4"/>
  <c r="K27" i="4"/>
  <c r="H27" i="4"/>
  <c r="O7" i="6" l="1"/>
  <c r="O5" i="6"/>
  <c r="O6" i="6"/>
  <c r="O4" i="6"/>
  <c r="N3" i="3"/>
  <c r="O3" i="6"/>
  <c r="N6" i="6"/>
  <c r="N7" i="6"/>
  <c r="N4" i="6"/>
  <c r="N5" i="6"/>
  <c r="N3" i="6"/>
  <c r="M4" i="3"/>
  <c r="M5" i="3"/>
  <c r="M3" i="3"/>
  <c r="N6" i="3"/>
  <c r="N7" i="3"/>
  <c r="M6" i="3"/>
  <c r="N4" i="3"/>
  <c r="N5" i="3"/>
  <c r="M7" i="3"/>
  <c r="P5" i="6" l="1"/>
  <c r="P3" i="6"/>
  <c r="P6" i="6"/>
  <c r="P7" i="6"/>
  <c r="O3" i="3"/>
  <c r="P4" i="6"/>
  <c r="O7" i="3"/>
  <c r="O4" i="3"/>
  <c r="O5" i="3"/>
  <c r="O6" i="3"/>
</calcChain>
</file>

<file path=xl/sharedStrings.xml><?xml version="1.0" encoding="utf-8"?>
<sst xmlns="http://schemas.openxmlformats.org/spreadsheetml/2006/main" count="459" uniqueCount="140">
  <si>
    <t>Bill ID</t>
  </si>
  <si>
    <t>Vendor</t>
  </si>
  <si>
    <t>Bill Date</t>
  </si>
  <si>
    <t>Status</t>
  </si>
  <si>
    <t>Receipt Name</t>
  </si>
  <si>
    <t>Terms</t>
  </si>
  <si>
    <t>Due Date</t>
  </si>
  <si>
    <t>Bill Amount</t>
  </si>
  <si>
    <t>Paid Date</t>
  </si>
  <si>
    <t>Paid Amount</t>
  </si>
  <si>
    <t>Payment Type</t>
  </si>
  <si>
    <t>Notes</t>
  </si>
  <si>
    <t>Amount Due</t>
  </si>
  <si>
    <t>Nancy Smith</t>
  </si>
  <si>
    <t>Unpaid</t>
  </si>
  <si>
    <t>Rent_August_2021.jpg</t>
  </si>
  <si>
    <t>Net 30</t>
  </si>
  <si>
    <t>Credit Card</t>
  </si>
  <si>
    <t>Dolores Richman</t>
  </si>
  <si>
    <t>SampleBill2.jpg</t>
  </si>
  <si>
    <t>Due On Receipt</t>
  </si>
  <si>
    <t>Test Notes</t>
  </si>
  <si>
    <t>Lisia Perkins</t>
  </si>
  <si>
    <t>Fully Paid</t>
  </si>
  <si>
    <t>SampleBill5.jpg</t>
  </si>
  <si>
    <t>Online</t>
  </si>
  <si>
    <t>Jacob Smith</t>
  </si>
  <si>
    <t>Closed</t>
  </si>
  <si>
    <t>Net 15</t>
  </si>
  <si>
    <t>Betty White</t>
  </si>
  <si>
    <t>Jackie Tubman</t>
  </si>
  <si>
    <t>John James</t>
  </si>
  <si>
    <t>Partially Paid</t>
  </si>
  <si>
    <t>Sandy Beach</t>
  </si>
  <si>
    <t>Harry Hammers</t>
  </si>
  <si>
    <t>James McKaren</t>
  </si>
  <si>
    <t>Fred Fredders</t>
  </si>
  <si>
    <t>Net 60</t>
  </si>
  <si>
    <t>Test</t>
  </si>
  <si>
    <t>Inv. ID</t>
  </si>
  <si>
    <t>Date</t>
  </si>
  <si>
    <t>Customer</t>
  </si>
  <si>
    <t>Total</t>
  </si>
  <si>
    <t>Total Paid</t>
  </si>
  <si>
    <t>Balance</t>
  </si>
  <si>
    <t>Days Overdue</t>
  </si>
  <si>
    <t>INVOICE LIST</t>
  </si>
  <si>
    <t>BILL LIST</t>
  </si>
  <si>
    <t>Bill Note</t>
  </si>
  <si>
    <t>Open</t>
  </si>
  <si>
    <t>Frank Costanza</t>
  </si>
  <si>
    <t>Partial Paid</t>
  </si>
  <si>
    <t>Paid</t>
  </si>
  <si>
    <t>Row Labels</t>
  </si>
  <si>
    <t>Grand Total</t>
  </si>
  <si>
    <t>(All)</t>
  </si>
  <si>
    <t>Sum of Balance</t>
  </si>
  <si>
    <t>Mar</t>
  </si>
  <si>
    <t>Sum of Total Paid</t>
  </si>
  <si>
    <t>Jan</t>
  </si>
  <si>
    <t>Feb</t>
  </si>
  <si>
    <t>Sum of Total</t>
  </si>
  <si>
    <t>Payment Date</t>
  </si>
  <si>
    <t>Apr</t>
  </si>
  <si>
    <t>May</t>
  </si>
  <si>
    <t>Jun</t>
  </si>
  <si>
    <t>Jul</t>
  </si>
  <si>
    <t>Aug</t>
  </si>
  <si>
    <t>DAYS OVERDUE</t>
  </si>
  <si>
    <t>Current</t>
  </si>
  <si>
    <t>&gt;30</t>
  </si>
  <si>
    <t>&gt;60</t>
  </si>
  <si>
    <t>&gt;90</t>
  </si>
  <si>
    <t>1 to 30</t>
  </si>
  <si>
    <t>INVOICES BY STATUS</t>
  </si>
  <si>
    <t>PAYMENTS BY MONTH</t>
  </si>
  <si>
    <t>Sum of Amount Due</t>
  </si>
  <si>
    <t>Jim Johnson</t>
  </si>
  <si>
    <t>VENDOR OPEN BALANCES</t>
  </si>
  <si>
    <t>BILLS BY STATUS</t>
  </si>
  <si>
    <t>Category</t>
  </si>
  <si>
    <t>A list of 10 typical business expenses</t>
  </si>
  <si>
    <t>Expense Category</t>
  </si>
  <si>
    <t>Description</t>
  </si>
  <si>
    <t>------------------------</t>
  </si>
  <si>
    <t>------------------------------------------------</t>
  </si>
  <si>
    <t>Rent</t>
  </si>
  <si>
    <t>Monthly payment for office or retail space</t>
  </si>
  <si>
    <t>Utilities</t>
  </si>
  <si>
    <t>Costs for electricity, water, gas, and internet</t>
  </si>
  <si>
    <t>Salaries and Wages</t>
  </si>
  <si>
    <t>Employee compensation and benefits</t>
  </si>
  <si>
    <t>Office Supplies</t>
  </si>
  <si>
    <t>Costs for stationery, printers, and other supplies</t>
  </si>
  <si>
    <t>Marketing and Advertising</t>
  </si>
  <si>
    <t>Expenses for promotional activities and materials</t>
  </si>
  <si>
    <t>Insurance</t>
  </si>
  <si>
    <t>Premiums for business liability and property insurance</t>
  </si>
  <si>
    <t>Equipment</t>
  </si>
  <si>
    <t>Purchase or lease of machinery and technology</t>
  </si>
  <si>
    <t>Travel Expenses</t>
  </si>
  <si>
    <t>Costs for business travel, including transportation and lodging</t>
  </si>
  <si>
    <t>Professional Services</t>
  </si>
  <si>
    <t>Fees for legal, accounting, or consulting services</t>
  </si>
  <si>
    <t>Maintenance and Repairs</t>
  </si>
  <si>
    <t>Costs for upkeep of equipment and facilities</t>
  </si>
  <si>
    <t>EXPENSES BY CATEGORY</t>
  </si>
  <si>
    <t>Sum of Bill Amount</t>
  </si>
  <si>
    <t>TODAY</t>
  </si>
  <si>
    <t>DASHBOARD DATA</t>
  </si>
  <si>
    <t>Bills To Pay</t>
  </si>
  <si>
    <t>Total Payables</t>
  </si>
  <si>
    <t>Payments to Receive</t>
  </si>
  <si>
    <t>Total Recivables</t>
  </si>
  <si>
    <t>BILLS DUE</t>
  </si>
  <si>
    <t>PAYMENTS</t>
  </si>
  <si>
    <t>Customers Open Balance</t>
  </si>
  <si>
    <t>Invoices Status</t>
  </si>
  <si>
    <t>Cutomer Monthly Payments</t>
  </si>
  <si>
    <t>&lt;1/15/2025</t>
  </si>
  <si>
    <t>Months (Payment Date)</t>
  </si>
  <si>
    <t>(blank)</t>
  </si>
  <si>
    <t>31-60</t>
  </si>
  <si>
    <t>1-30'</t>
  </si>
  <si>
    <t>61-90</t>
  </si>
  <si>
    <t>Buckets</t>
  </si>
  <si>
    <t>Days</t>
  </si>
  <si>
    <t>Amount</t>
  </si>
  <si>
    <t>Dashboard Data</t>
  </si>
  <si>
    <t>Bills to Pay</t>
  </si>
  <si>
    <t>Payments to receive</t>
  </si>
  <si>
    <t>Total Receivalbes</t>
  </si>
  <si>
    <t>Payments</t>
  </si>
  <si>
    <t>Today</t>
  </si>
  <si>
    <t>Bills Due</t>
  </si>
  <si>
    <t>Bills Due this week</t>
  </si>
  <si>
    <t>Bills Due this month</t>
  </si>
  <si>
    <t>Bills paid this week</t>
  </si>
  <si>
    <t>Bills paid this month</t>
  </si>
  <si>
    <t>Vendors Open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</si>
</sst>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7" formatCode="&quot;$&quot;#,##0.00_);\(&quot;$&quot;#,##0.00\)"/>
    <numFmt numFmtId="44" formatCode="_(&quot;$&quot;* #,##0.00_);_(&quot;$&quot;* \(#,##0.00\);_(&quot;$&quot;* &quot;-&quot;??_);_(@_)"/>
    <numFmt numFmtId="164" formatCode="[$-409]h:mm\ AM/PM;@"/>
    <numFmt numFmtId="165" formatCode="h:mm;@"/>
    <numFmt numFmtId="166" formatCode="[$-409]m/d/yy\ h:mm\ AM/PM;@"/>
    <numFmt numFmtId="167" formatCode="d"/>
    <numFmt numFmtId="168" formatCode="&quot;$&quot;#,##0.00"/>
    <numFmt numFmtId="169" formatCode="[$-F800]dddd\,\ mmmm\ dd\,\ yyyy"/>
    <numFmt numFmtId="170" formatCode="&quot;$&quot;#,##0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auto="1"/>
      </patternFill>
    </fill>
    <fill>
      <patternFill patternType="solid">
        <fgColor theme="4" tint="0.59999389629810485"/>
        <bgColor theme="6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 tint="-0.499984740745262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2">
    <xf numFmtId="0" fontId="0" fillId="0" borderId="0" xfId="0"/>
    <xf numFmtId="0" fontId="0" fillId="0" borderId="4" xfId="0" applyBorder="1" applyAlignment="1">
      <alignment horizontal="center"/>
    </xf>
    <xf numFmtId="0" fontId="0" fillId="0" borderId="4" xfId="0" applyBorder="1"/>
    <xf numFmtId="14" fontId="0" fillId="0" borderId="4" xfId="0" applyNumberFormat="1" applyBorder="1" applyAlignment="1">
      <alignment horizontal="left"/>
    </xf>
    <xf numFmtId="164" fontId="0" fillId="0" borderId="4" xfId="0" applyNumberFormat="1" applyBorder="1"/>
    <xf numFmtId="165" fontId="0" fillId="0" borderId="4" xfId="0" applyNumberFormat="1" applyBorder="1"/>
    <xf numFmtId="166" fontId="0" fillId="0" borderId="4" xfId="0" applyNumberFormat="1" applyBorder="1"/>
    <xf numFmtId="14" fontId="0" fillId="0" borderId="4" xfId="0" applyNumberFormat="1" applyBorder="1"/>
    <xf numFmtId="7" fontId="0" fillId="0" borderId="4" xfId="1" applyNumberFormat="1" applyFont="1" applyFill="1" applyBorder="1"/>
    <xf numFmtId="7" fontId="0" fillId="0" borderId="0" xfId="1" applyNumberFormat="1" applyFont="1" applyFill="1"/>
    <xf numFmtId="44" fontId="0" fillId="0" borderId="0" xfId="1" applyFont="1" applyFill="1"/>
    <xf numFmtId="0" fontId="0" fillId="0" borderId="0" xfId="0" applyAlignment="1">
      <alignment horizontal="center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7" fontId="0" fillId="0" borderId="0" xfId="1" applyNumberFormat="1" applyFont="1" applyFill="1" applyBorder="1"/>
    <xf numFmtId="44" fontId="0" fillId="0" borderId="0" xfId="1" applyFont="1" applyFill="1" applyBorder="1"/>
    <xf numFmtId="0" fontId="2" fillId="2" borderId="5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44" fontId="0" fillId="0" borderId="0" xfId="1" applyFont="1"/>
    <xf numFmtId="0" fontId="2" fillId="5" borderId="1" xfId="0" applyFont="1" applyFill="1" applyBorder="1" applyAlignment="1">
      <alignment horizontal="center"/>
    </xf>
    <xf numFmtId="14" fontId="2" fillId="5" borderId="1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44" fontId="2" fillId="5" borderId="1" xfId="1" applyFont="1" applyFill="1" applyBorder="1" applyAlignment="1">
      <alignment horizontal="center"/>
    </xf>
    <xf numFmtId="14" fontId="2" fillId="5" borderId="2" xfId="0" applyNumberFormat="1" applyFont="1" applyFill="1" applyBorder="1" applyAlignment="1">
      <alignment horizontal="center"/>
    </xf>
    <xf numFmtId="44" fontId="2" fillId="5" borderId="3" xfId="1" applyFont="1" applyFill="1" applyBorder="1" applyAlignment="1">
      <alignment horizontal="center"/>
    </xf>
    <xf numFmtId="14" fontId="2" fillId="2" borderId="5" xfId="0" applyNumberFormat="1" applyFont="1" applyFill="1" applyBorder="1" applyAlignment="1">
      <alignment horizontal="center"/>
    </xf>
    <xf numFmtId="44" fontId="2" fillId="2" borderId="6" xfId="1" applyFont="1" applyFill="1" applyBorder="1" applyAlignment="1">
      <alignment horizontal="center"/>
    </xf>
    <xf numFmtId="44" fontId="2" fillId="2" borderId="3" xfId="1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167" fontId="0" fillId="0" borderId="0" xfId="0" applyNumberFormat="1"/>
    <xf numFmtId="167" fontId="0" fillId="0" borderId="0" xfId="0" applyNumberFormat="1" applyAlignment="1">
      <alignment horizontal="left"/>
    </xf>
    <xf numFmtId="14" fontId="0" fillId="0" borderId="0" xfId="1" applyNumberFormat="1" applyFont="1"/>
    <xf numFmtId="16" fontId="0" fillId="0" borderId="0" xfId="0" applyNumberFormat="1"/>
    <xf numFmtId="0" fontId="0" fillId="6" borderId="0" xfId="0" applyFill="1"/>
    <xf numFmtId="167" fontId="0" fillId="6" borderId="0" xfId="0" applyNumberFormat="1" applyFill="1"/>
    <xf numFmtId="7" fontId="0" fillId="0" borderId="0" xfId="0" applyNumberFormat="1"/>
    <xf numFmtId="0" fontId="5" fillId="0" borderId="0" xfId="0" applyFont="1"/>
    <xf numFmtId="168" fontId="0" fillId="0" borderId="0" xfId="0" applyNumberFormat="1"/>
    <xf numFmtId="169" fontId="0" fillId="0" borderId="0" xfId="0" applyNumberFormat="1" applyAlignment="1">
      <alignment horizontal="left"/>
    </xf>
    <xf numFmtId="7" fontId="0" fillId="0" borderId="0" xfId="0" applyNumberFormat="1" applyAlignment="1">
      <alignment horizontal="left"/>
    </xf>
    <xf numFmtId="168" fontId="0" fillId="0" borderId="0" xfId="0" applyNumberFormat="1" applyAlignment="1">
      <alignment horizontal="left"/>
    </xf>
    <xf numFmtId="7" fontId="0" fillId="0" borderId="0" xfId="1" applyNumberFormat="1" applyFont="1" applyAlignment="1">
      <alignment horizontal="left"/>
    </xf>
    <xf numFmtId="168" fontId="0" fillId="0" borderId="0" xfId="1" applyNumberFormat="1" applyFont="1"/>
    <xf numFmtId="0" fontId="0" fillId="7" borderId="0" xfId="0" applyFill="1"/>
    <xf numFmtId="0" fontId="5" fillId="7" borderId="0" xfId="0" applyFont="1" applyFill="1" applyAlignment="1">
      <alignment horizontal="centerContinuous"/>
    </xf>
    <xf numFmtId="0" fontId="5" fillId="0" borderId="0" xfId="0" applyFont="1" applyAlignment="1">
      <alignment horizontal="centerContinuous"/>
    </xf>
    <xf numFmtId="0" fontId="7" fillId="0" borderId="0" xfId="0" applyFont="1" applyAlignment="1">
      <alignment horizontal="centerContinuous"/>
    </xf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1"/>
    </xf>
    <xf numFmtId="170" fontId="0" fillId="0" borderId="0" xfId="0" applyNumberFormat="1"/>
    <xf numFmtId="0" fontId="5" fillId="8" borderId="0" xfId="0" applyFont="1" applyFill="1" applyAlignment="1">
      <alignment horizontal="centerContinuous"/>
    </xf>
    <xf numFmtId="1" fontId="0" fillId="0" borderId="0" xfId="0" applyNumberFormat="1"/>
    <xf numFmtId="0" fontId="5" fillId="3" borderId="0" xfId="0" applyFont="1" applyFill="1" applyAlignment="1">
      <alignment horizontal="centerContinuous"/>
    </xf>
    <xf numFmtId="169" fontId="0" fillId="0" borderId="0" xfId="0" applyNumberFormat="1"/>
    <xf numFmtId="2" fontId="0" fillId="0" borderId="0" xfId="0" applyNumberFormat="1"/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</cellXfs>
  <cellStyles count="2">
    <cellStyle name="Currency" xfId="1" builtinId="4"/>
    <cellStyle name="Normal" xfId="0" builtinId="0"/>
  </cellStyles>
  <dxfs count="32">
    <dxf>
      <numFmt numFmtId="167" formatCode="d"/>
    </dxf>
    <dxf>
      <numFmt numFmtId="167" formatCode="d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m/d/yyyy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theme="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[$-409]m/d/yy\ h:mm\ AM/P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h: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$-409]h:mm\ AM/P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theme="6"/>
          <bgColor theme="4" tint="0.59999389629810485"/>
        </patternFill>
      </fill>
      <alignment horizontal="center" vertical="bottom" textRotation="0" wrapText="0" indent="0" justifyLastLine="0" shrinkToFit="0" readingOrder="0"/>
    </dxf>
    <dxf>
      <numFmt numFmtId="170" formatCode="&quot;$&quot;#,##0"/>
    </dxf>
    <dxf>
      <numFmt numFmtId="168" formatCode="&quot;$&quot;#,##0.00"/>
    </dxf>
    <dxf>
      <numFmt numFmtId="168" formatCode="&quot;$&quot;#,##0.00"/>
    </dxf>
    <dxf>
      <numFmt numFmtId="168" formatCode="&quot;$&quot;#,##0.00"/>
    </dxf>
    <dxf>
      <font>
        <b/>
        <sz val="11"/>
        <color theme="1"/>
      </font>
      <fill>
        <patternFill patternType="none">
          <bgColor auto="1"/>
        </patternFill>
      </fill>
      <border>
        <vertical/>
        <horizontal/>
      </border>
    </dxf>
    <dxf>
      <font>
        <color theme="1"/>
      </font>
      <fill>
        <patternFill patternType="none">
          <bgColor auto="1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color theme="1"/>
      </font>
      <fill>
        <patternFill patternType="none">
          <fgColor auto="1"/>
          <bgColor auto="1"/>
        </patternFill>
      </fill>
      <border>
        <bottom style="thin">
          <color theme="4"/>
        </bottom>
        <vertical/>
        <horizontal/>
      </border>
    </dxf>
    <dxf>
      <font>
        <color theme="1"/>
      </font>
      <fill>
        <patternFill patternType="none">
          <fgColor auto="1"/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Slicer Style 1" pivot="0" table="0" count="1" xr9:uid="{0F072B59-F653-4A64-98A7-8B977E647510}"/>
    <tableStyle name="SlicerStyleLight1 2" pivot="0" table="0" count="10" xr9:uid="{63DDA07D-8D35-4BB1-AE85-EB6FF0B541A2}">
      <tableStyleElement type="wholeTable" dxfId="31"/>
      <tableStyleElement type="headerRow" dxfId="30"/>
    </tableStyle>
    <tableStyle name="TimeSlicerStyleLight1 2" pivot="0" table="0" count="9" xr9:uid="{C329D2E7-A336-42BE-ADEE-824B59DCF593}">
      <tableStyleElement type="wholeTable" dxfId="29"/>
      <tableStyleElement type="headerRow" dxfId="28"/>
    </tableStyle>
  </tableStyles>
  <colors>
    <mruColors>
      <color rgb="FF2F5597"/>
      <color rgb="FFC7D5ED"/>
      <color rgb="FFC55A11"/>
      <color rgb="FFFFFFFF"/>
      <color rgb="FFD9E1F2"/>
      <color rgb="FFCE3208"/>
      <color rgb="FFFFCB25"/>
      <color rgb="FFED8137"/>
      <color rgb="FFD4DFF1"/>
      <color rgb="FF0021C6"/>
    </mruColors>
  </colors>
  <extLst>
    <ext xmlns:x14="http://schemas.microsoft.com/office/spreadsheetml/2009/9/main" uri="{46F421CA-312F-682f-3DD2-61675219B42D}">
      <x14:dxfs count="9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ill>
            <patternFill>
              <bgColor theme="4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 2">
        <x14:slicerStyle name="Slicer Style 1">
          <x14:slicerStyleElements>
            <x14:slicerStyleElement type="unselectedItemWithData" dxfId="8"/>
          </x14:slicerStyleElements>
        </x14:slicerStyle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[Accts_Receivable_Payable_Dashboard.xlsm]Pivots!PivotTable2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latin typeface="+mn-lt"/>
              </a:rPr>
              <a:t>Invoices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noFill/>
          </a:ln>
          <a:effectLst>
            <a:outerShdw blurRad="50800" dist="50800" dir="5400000" algn="ctr" rotWithShape="0">
              <a:schemeClr val="accent1">
                <a:lumMod val="75000"/>
              </a:schemeClr>
            </a:outerShdw>
          </a:effectLst>
          <a:scene3d>
            <a:camera prst="orthographicFront"/>
            <a:lightRig rig="threePt" dir="t"/>
          </a:scene3d>
          <a:sp3d>
            <a:bevelT w="139700" h="139700" prst="divot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noFill/>
          </a:ln>
          <a:effectLst>
            <a:outerShdw blurRad="50800" dist="50800" dir="5400000" algn="ctr" rotWithShape="0">
              <a:schemeClr val="accent1">
                <a:lumMod val="75000"/>
              </a:schemeClr>
            </a:outerShdw>
          </a:effectLst>
          <a:scene3d>
            <a:camera prst="orthographicFront"/>
            <a:lightRig rig="threePt" dir="t"/>
          </a:scene3d>
          <a:sp3d>
            <a:bevelT w="139700" h="139700" prst="divot"/>
          </a:sp3d>
        </c:spPr>
        <c:dLbl>
          <c:idx val="0"/>
          <c:layout>
            <c:manualLayout>
              <c:x val="0.16111111111111112"/>
              <c:y val="-0.125000000000000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noFill/>
          </a:ln>
          <a:effectLst>
            <a:outerShdw blurRad="50800" dist="50800" dir="5400000" algn="ctr" rotWithShape="0">
              <a:schemeClr val="accent1">
                <a:lumMod val="75000"/>
              </a:schemeClr>
            </a:outerShdw>
          </a:effectLst>
          <a:scene3d>
            <a:camera prst="orthographicFront"/>
            <a:lightRig rig="threePt" dir="t"/>
          </a:scene3d>
          <a:sp3d>
            <a:bevelT w="139700" h="139700" prst="divot"/>
          </a:sp3d>
        </c:spPr>
        <c:dLbl>
          <c:idx val="0"/>
          <c:layout>
            <c:manualLayout>
              <c:x val="-0.24483934903663357"/>
              <c:y val="8.333333333333332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noFill/>
          </a:ln>
          <a:effectLst>
            <a:outerShdw blurRad="50800" dist="50800" dir="5400000" algn="ctr" rotWithShape="0">
              <a:schemeClr val="accent1">
                <a:lumMod val="75000"/>
              </a:schemeClr>
            </a:outerShdw>
          </a:effectLst>
          <a:scene3d>
            <a:camera prst="orthographicFront"/>
            <a:lightRig rig="threePt" dir="t"/>
          </a:scene3d>
          <a:sp3d>
            <a:bevelT w="139700" h="139700" prst="divot"/>
          </a:sp3d>
        </c:spPr>
        <c:dLbl>
          <c:idx val="0"/>
          <c:layout>
            <c:manualLayout>
              <c:x val="-0.19750433950174723"/>
              <c:y val="-0.1111111111111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noFill/>
          </a:ln>
          <a:effectLst>
            <a:outerShdw blurRad="50800" dist="50800" dir="5400000" algn="ctr" rotWithShape="0">
              <a:schemeClr val="accent1">
                <a:lumMod val="75000"/>
              </a:schemeClr>
            </a:outerShdw>
          </a:effectLst>
          <a:scene3d>
            <a:camera prst="orthographicFront"/>
            <a:lightRig rig="threePt" dir="t"/>
          </a:scene3d>
          <a:sp3d>
            <a:bevelT w="139700" h="139700" prst="divot"/>
          </a:sp3d>
        </c:spPr>
        <c:dLbl>
          <c:idx val="0"/>
          <c:layout>
            <c:manualLayout>
              <c:x val="-0.2428933880707522"/>
              <c:y val="-0.1435185185185185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Pivots!$G$3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  <a:effectLst>
              <a:outerShdw blurRad="50800" dist="50800" dir="5400000" algn="ctr" rotWithShape="0">
                <a:schemeClr val="accent1">
                  <a:lumMod val="75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39700" h="139700" prst="divot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>
                <a:outerShdw blurRad="50800" dist="50800" dir="5400000" algn="ctr" rotWithShape="0">
                  <a:schemeClr val="accent1">
                    <a:lumMod val="75000"/>
                  </a:schemeClr>
                </a:outerShdw>
              </a:effectLst>
              <a:scene3d>
                <a:camera prst="orthographicFront"/>
                <a:lightRig rig="threePt" dir="t"/>
              </a:scene3d>
              <a:sp3d>
                <a:bevelT w="139700" h="139700" prst="divot"/>
              </a:sp3d>
            </c:spPr>
            <c:extLst>
              <c:ext xmlns:c16="http://schemas.microsoft.com/office/drawing/2014/chart" uri="{C3380CC4-5D6E-409C-BE32-E72D297353CC}">
                <c16:uniqueId val="{00000001-4885-4B2E-88D6-0C89E663106A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noFill/>
              </a:ln>
              <a:effectLst>
                <a:outerShdw blurRad="50800" dist="50800" dir="5400000" algn="ctr" rotWithShape="0">
                  <a:schemeClr val="accent1">
                    <a:lumMod val="75000"/>
                  </a:schemeClr>
                </a:outerShdw>
              </a:effectLst>
              <a:scene3d>
                <a:camera prst="orthographicFront"/>
                <a:lightRig rig="threePt" dir="t"/>
              </a:scene3d>
              <a:sp3d>
                <a:bevelT w="139700" h="139700" prst="divot"/>
              </a:sp3d>
            </c:spPr>
            <c:extLst>
              <c:ext xmlns:c16="http://schemas.microsoft.com/office/drawing/2014/chart" uri="{C3380CC4-5D6E-409C-BE32-E72D297353CC}">
                <c16:uniqueId val="{00000003-4885-4B2E-88D6-0C89E663106A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noFill/>
              </a:ln>
              <a:effectLst>
                <a:outerShdw blurRad="50800" dist="50800" dir="5400000" algn="ctr" rotWithShape="0">
                  <a:schemeClr val="accent1">
                    <a:lumMod val="75000"/>
                  </a:schemeClr>
                </a:outerShdw>
              </a:effectLst>
              <a:scene3d>
                <a:camera prst="orthographicFront"/>
                <a:lightRig rig="threePt" dir="t"/>
              </a:scene3d>
              <a:sp3d>
                <a:bevelT w="139700" h="139700" prst="divot"/>
              </a:sp3d>
            </c:spPr>
            <c:extLst>
              <c:ext xmlns:c16="http://schemas.microsoft.com/office/drawing/2014/chart" uri="{C3380CC4-5D6E-409C-BE32-E72D297353CC}">
                <c16:uniqueId val="{00000005-4885-4B2E-88D6-0C89E663106A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noFill/>
              </a:ln>
              <a:effectLst>
                <a:outerShdw blurRad="50800" dist="50800" dir="5400000" algn="ctr" rotWithShape="0">
                  <a:schemeClr val="accent1">
                    <a:lumMod val="75000"/>
                  </a:schemeClr>
                </a:outerShdw>
              </a:effectLst>
              <a:scene3d>
                <a:camera prst="orthographicFront"/>
                <a:lightRig rig="threePt" dir="t"/>
              </a:scene3d>
              <a:sp3d>
                <a:bevelT w="139700" h="139700" prst="divot"/>
              </a:sp3d>
            </c:spPr>
            <c:extLst>
              <c:ext xmlns:c16="http://schemas.microsoft.com/office/drawing/2014/chart" uri="{C3380CC4-5D6E-409C-BE32-E72D297353CC}">
                <c16:uniqueId val="{00000007-4885-4B2E-88D6-0C89E663106A}"/>
              </c:ext>
            </c:extLst>
          </c:dPt>
          <c:dLbls>
            <c:dLbl>
              <c:idx val="0"/>
              <c:layout>
                <c:manualLayout>
                  <c:x val="0.16111111111111112"/>
                  <c:y val="-0.1250000000000000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885-4B2E-88D6-0C89E663106A}"/>
                </c:ext>
              </c:extLst>
            </c:dLbl>
            <c:dLbl>
              <c:idx val="1"/>
              <c:layout>
                <c:manualLayout>
                  <c:x val="-0.24483934903663357"/>
                  <c:y val="8.333333333333332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85-4B2E-88D6-0C89E663106A}"/>
                </c:ext>
              </c:extLst>
            </c:dLbl>
            <c:dLbl>
              <c:idx val="2"/>
              <c:layout>
                <c:manualLayout>
                  <c:x val="-0.19750433950174723"/>
                  <c:y val="-0.1111111111111111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885-4B2E-88D6-0C89E663106A}"/>
                </c:ext>
              </c:extLst>
            </c:dLbl>
            <c:dLbl>
              <c:idx val="3"/>
              <c:layout>
                <c:manualLayout>
                  <c:x val="-0.2428933880707522"/>
                  <c:y val="-0.1435185185185185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85-4B2E-88D6-0C89E66310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Pivots!$F$4:$F$7</c:f>
              <c:strCache>
                <c:ptCount val="4"/>
                <c:pt idx="0">
                  <c:v>Open</c:v>
                </c:pt>
                <c:pt idx="1">
                  <c:v>Paid</c:v>
                </c:pt>
                <c:pt idx="2">
                  <c:v>Partial Paid</c:v>
                </c:pt>
                <c:pt idx="3">
                  <c:v>Unpaid</c:v>
                </c:pt>
              </c:strCache>
            </c:strRef>
          </c:cat>
          <c:val>
            <c:numRef>
              <c:f>Pivots!$G$4:$G$7</c:f>
              <c:numCache>
                <c:formatCode>_("$"* #,##0.00_);_("$"* \(#,##0.00\);_("$"* "-"??_);_(@_)</c:formatCode>
                <c:ptCount val="4"/>
                <c:pt idx="0">
                  <c:v>6518</c:v>
                </c:pt>
                <c:pt idx="1">
                  <c:v>1696</c:v>
                </c:pt>
                <c:pt idx="2">
                  <c:v>4013</c:v>
                </c:pt>
                <c:pt idx="3">
                  <c:v>1575.5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885-4B2E-88D6-0C89E6631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8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[Accts_Receivable_Payable_Dashboard.xlsm]Pivots!PivotTable3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Customer Payment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>
            <a:glow rad="63500">
              <a:schemeClr val="accent1">
                <a:satMod val="175000"/>
                <a:alpha val="40000"/>
              </a:schemeClr>
            </a:glow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Pivots!$K$3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Pivots!$J$4:$J$11</c:f>
              <c:strCache>
                <c:ptCount val="8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</c:strCache>
            </c:strRef>
          </c:cat>
          <c:val>
            <c:numRef>
              <c:f>Pivots!$K$4:$K$11</c:f>
              <c:numCache>
                <c:formatCode>"$"#,##0</c:formatCode>
                <c:ptCount val="8"/>
                <c:pt idx="0">
                  <c:v>450</c:v>
                </c:pt>
                <c:pt idx="1">
                  <c:v>388</c:v>
                </c:pt>
                <c:pt idx="2">
                  <c:v>450</c:v>
                </c:pt>
                <c:pt idx="3">
                  <c:v>38.142857142857196</c:v>
                </c:pt>
                <c:pt idx="4">
                  <c:v>570.71428571428578</c:v>
                </c:pt>
                <c:pt idx="5">
                  <c:v>300</c:v>
                </c:pt>
                <c:pt idx="6">
                  <c:v>900</c:v>
                </c:pt>
                <c:pt idx="7">
                  <c:v>358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75-43F5-BCD1-D5F69611C71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061660079"/>
        <c:axId val="2061640879"/>
      </c:lineChart>
      <c:catAx>
        <c:axId val="20616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640879"/>
        <c:crosses val="autoZero"/>
        <c:auto val="1"/>
        <c:lblAlgn val="ctr"/>
        <c:lblOffset val="100"/>
        <c:noMultiLvlLbl val="0"/>
      </c:catAx>
      <c:valAx>
        <c:axId val="2061640879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0616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50" b="1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[Accts_Receivable_Payable_Dashboard.xlsm]Pivots!PivotTable1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/>
              <a:t>Customers Open 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>
            <a:outerShdw blurRad="12700" dist="50800" dir="5400000" algn="ctr" rotWithShape="0">
              <a:schemeClr val="accent1">
                <a:lumMod val="75000"/>
                <a:alpha val="63000"/>
              </a:scheme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4276471632939776"/>
          <c:y val="9.9789761530597071E-2"/>
          <c:w val="0.64378289611896855"/>
          <c:h val="0.8706150004851330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Pivots!$C$3</c:f>
              <c:strCache>
                <c:ptCount val="1"/>
                <c:pt idx="0">
                  <c:v>Total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outerShdw blurRad="12700" dist="50800" dir="5400000" algn="ctr" rotWithShape="0">
                <a:schemeClr val="accent1">
                  <a:lumMod val="75000"/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Pivots!$B$4:$B$8</c:f>
              <c:strCache>
                <c:ptCount val="5"/>
                <c:pt idx="0">
                  <c:v>Betty White</c:v>
                </c:pt>
                <c:pt idx="1">
                  <c:v>Dolores Richman</c:v>
                </c:pt>
                <c:pt idx="2">
                  <c:v>Frank Costanza</c:v>
                </c:pt>
                <c:pt idx="3">
                  <c:v>Jackie Tubman</c:v>
                </c:pt>
                <c:pt idx="4">
                  <c:v>Jim Johnson</c:v>
                </c:pt>
              </c:strCache>
            </c:strRef>
          </c:cat>
          <c:val>
            <c:numRef>
              <c:f>Pivots!$C$4:$C$8</c:f>
              <c:numCache>
                <c:formatCode>_("$"* #,##0.00_);_("$"* \(#,##0.00\);_("$"* "-"??_);_(@_)</c:formatCode>
                <c:ptCount val="5"/>
                <c:pt idx="0">
                  <c:v>2588</c:v>
                </c:pt>
                <c:pt idx="1">
                  <c:v>871.78571428571433</c:v>
                </c:pt>
                <c:pt idx="2">
                  <c:v>3108.8809523809523</c:v>
                </c:pt>
                <c:pt idx="3">
                  <c:v>2919.9761904761904</c:v>
                </c:pt>
                <c:pt idx="4">
                  <c:v>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4A-4A6D-A776-2AE0A80AC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43872799"/>
        <c:axId val="2043885279"/>
      </c:barChart>
      <c:catAx>
        <c:axId val="20438727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85279"/>
        <c:crosses val="autoZero"/>
        <c:auto val="1"/>
        <c:lblAlgn val="ctr"/>
        <c:lblOffset val="100"/>
        <c:noMultiLvlLbl val="0"/>
      </c:catAx>
      <c:valAx>
        <c:axId val="2043885279"/>
        <c:scaling>
          <c:orientation val="minMax"/>
        </c:scaling>
        <c:delete val="1"/>
        <c:axPos val="b"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2043872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[Accts_Receivable_Payable_Dashboard.xlsm]Pivots!PivotTable4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Vendor Open 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39700" h="139700" prst="divot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5276829160399895"/>
          <c:y val="0.12551607445008461"/>
          <c:w val="0.4473565523410698"/>
          <c:h val="0.8372588832487309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Pivots!$M$15</c:f>
              <c:strCache>
                <c:ptCount val="1"/>
                <c:pt idx="0">
                  <c:v>Total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39700" h="139700" prst="divot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Pivots!$L$16:$L$26</c:f>
              <c:strCache>
                <c:ptCount val="10"/>
                <c:pt idx="0">
                  <c:v>Betty White</c:v>
                </c:pt>
                <c:pt idx="1">
                  <c:v>Dolores Richman</c:v>
                </c:pt>
                <c:pt idx="2">
                  <c:v>Harry Hammers</c:v>
                </c:pt>
                <c:pt idx="3">
                  <c:v>Jackie Tubman</c:v>
                </c:pt>
                <c:pt idx="4">
                  <c:v>Jacob Smith</c:v>
                </c:pt>
                <c:pt idx="5">
                  <c:v>James McKaren</c:v>
                </c:pt>
                <c:pt idx="6">
                  <c:v>John James</c:v>
                </c:pt>
                <c:pt idx="7">
                  <c:v>Lisia Perkins</c:v>
                </c:pt>
                <c:pt idx="8">
                  <c:v>Nancy Smith</c:v>
                </c:pt>
                <c:pt idx="9">
                  <c:v>Sandy Beach</c:v>
                </c:pt>
              </c:strCache>
            </c:strRef>
          </c:cat>
          <c:val>
            <c:numRef>
              <c:f>Pivots!$M$16:$M$26</c:f>
              <c:numCache>
                <c:formatCode>"$"#,##0.00</c:formatCode>
                <c:ptCount val="10"/>
                <c:pt idx="0">
                  <c:v>245</c:v>
                </c:pt>
                <c:pt idx="1">
                  <c:v>605</c:v>
                </c:pt>
                <c:pt idx="2">
                  <c:v>933.33333333333303</c:v>
                </c:pt>
                <c:pt idx="3">
                  <c:v>1450</c:v>
                </c:pt>
                <c:pt idx="4">
                  <c:v>850</c:v>
                </c:pt>
                <c:pt idx="5">
                  <c:v>251</c:v>
                </c:pt>
                <c:pt idx="6">
                  <c:v>4728.3809523809532</c:v>
                </c:pt>
                <c:pt idx="7">
                  <c:v>7738.0238095238074</c:v>
                </c:pt>
                <c:pt idx="8">
                  <c:v>4378.333333333333</c:v>
                </c:pt>
                <c:pt idx="9">
                  <c:v>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B-4D5E-9FEA-4274BAD9C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80029199"/>
        <c:axId val="1780030159"/>
      </c:barChart>
      <c:catAx>
        <c:axId val="17800291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0030159"/>
        <c:crosses val="autoZero"/>
        <c:auto val="1"/>
        <c:lblAlgn val="ctr"/>
        <c:lblOffset val="100"/>
        <c:noMultiLvlLbl val="0"/>
      </c:catAx>
      <c:valAx>
        <c:axId val="1780030159"/>
        <c:scaling>
          <c:orientation val="minMax"/>
        </c:scaling>
        <c:delete val="1"/>
        <c:axPos val="b"/>
        <c:numFmt formatCode="&quot;$&quot;#,##0.00" sourceLinked="1"/>
        <c:majorTickMark val="none"/>
        <c:minorTickMark val="none"/>
        <c:tickLblPos val="nextTo"/>
        <c:crossAx val="17800291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[Accts_Receivable_Payable_Dashboard.xlsm]Pivots!PivotTable5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Bills Amount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39700" h="139700" prst="divot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39700" h="139700" prst="divot"/>
          </a:sp3d>
        </c:spPr>
        <c:dLbl>
          <c:idx val="0"/>
          <c:layout>
            <c:manualLayout>
              <c:x val="0.20454551555282616"/>
              <c:y val="-0.1096404714116617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39700" h="139700" prst="divot"/>
          </a:sp3d>
        </c:spPr>
        <c:dLbl>
          <c:idx val="0"/>
          <c:layout>
            <c:manualLayout>
              <c:x val="0.22651521907516675"/>
              <c:y val="-7.559919715917863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39700" h="139700" prst="divot"/>
          </a:sp3d>
        </c:spPr>
        <c:dLbl>
          <c:idx val="0"/>
          <c:layout>
            <c:manualLayout>
              <c:x val="0.18383833925028001"/>
              <c:y val="0.1442812001440996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39700" h="139700" prst="divot"/>
          </a:sp3d>
        </c:spPr>
        <c:dLbl>
          <c:idx val="0"/>
          <c:layout>
            <c:manualLayout>
              <c:x val="-0.18333338801401455"/>
              <c:y val="-0.275435747002212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Pivots!$W$3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39700" h="139700" prst="divot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39700" h="139700" prst="divot"/>
              </a:sp3d>
            </c:spPr>
            <c:extLst>
              <c:ext xmlns:c16="http://schemas.microsoft.com/office/drawing/2014/chart" uri="{C3380CC4-5D6E-409C-BE32-E72D297353CC}">
                <c16:uniqueId val="{00000001-480E-4FCA-8AD6-D8B616CAE653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39700" h="139700" prst="divot"/>
              </a:sp3d>
            </c:spPr>
            <c:extLst>
              <c:ext xmlns:c16="http://schemas.microsoft.com/office/drawing/2014/chart" uri="{C3380CC4-5D6E-409C-BE32-E72D297353CC}">
                <c16:uniqueId val="{00000003-480E-4FCA-8AD6-D8B616CAE653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39700" h="139700" prst="divot"/>
              </a:sp3d>
            </c:spPr>
            <c:extLst>
              <c:ext xmlns:c16="http://schemas.microsoft.com/office/drawing/2014/chart" uri="{C3380CC4-5D6E-409C-BE32-E72D297353CC}">
                <c16:uniqueId val="{00000005-480E-4FCA-8AD6-D8B616CAE653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39700" h="139700" prst="divot"/>
              </a:sp3d>
            </c:spPr>
            <c:extLst>
              <c:ext xmlns:c16="http://schemas.microsoft.com/office/drawing/2014/chart" uri="{C3380CC4-5D6E-409C-BE32-E72D297353CC}">
                <c16:uniqueId val="{00000007-480E-4FCA-8AD6-D8B616CAE653}"/>
              </c:ext>
            </c:extLst>
          </c:dPt>
          <c:dLbls>
            <c:dLbl>
              <c:idx val="0"/>
              <c:layout>
                <c:manualLayout>
                  <c:x val="0.20454551555282616"/>
                  <c:y val="-0.1096404714116617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80E-4FCA-8AD6-D8B616CAE653}"/>
                </c:ext>
              </c:extLst>
            </c:dLbl>
            <c:dLbl>
              <c:idx val="1"/>
              <c:layout>
                <c:manualLayout>
                  <c:x val="0.22651521907516675"/>
                  <c:y val="-7.55991971591786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0E-4FCA-8AD6-D8B616CAE653}"/>
                </c:ext>
              </c:extLst>
            </c:dLbl>
            <c:dLbl>
              <c:idx val="2"/>
              <c:layout>
                <c:manualLayout>
                  <c:x val="0.18383833925028001"/>
                  <c:y val="0.1442812001440996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80E-4FCA-8AD6-D8B616CAE653}"/>
                </c:ext>
              </c:extLst>
            </c:dLbl>
            <c:dLbl>
              <c:idx val="3"/>
              <c:layout>
                <c:manualLayout>
                  <c:x val="-0.18333338801401455"/>
                  <c:y val="-0.2754357470022129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0E-4FCA-8AD6-D8B616CAE6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Pivots!$V$4:$V$8</c:f>
              <c:strCache>
                <c:ptCount val="4"/>
                <c:pt idx="0">
                  <c:v>Closed</c:v>
                </c:pt>
                <c:pt idx="1">
                  <c:v>Fully Paid</c:v>
                </c:pt>
                <c:pt idx="2">
                  <c:v>Partially Paid</c:v>
                </c:pt>
                <c:pt idx="3">
                  <c:v>Unpaid</c:v>
                </c:pt>
              </c:strCache>
            </c:strRef>
          </c:cat>
          <c:val>
            <c:numRef>
              <c:f>Pivots!$W$4:$W$8</c:f>
              <c:numCache>
                <c:formatCode>"$"#,##0.00</c:formatCode>
                <c:ptCount val="4"/>
                <c:pt idx="0">
                  <c:v>5128.3809523809532</c:v>
                </c:pt>
                <c:pt idx="1">
                  <c:v>1695</c:v>
                </c:pt>
                <c:pt idx="2">
                  <c:v>1251</c:v>
                </c:pt>
                <c:pt idx="3">
                  <c:v>13349.690476190472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80E-4FCA-8AD6-D8B616CAE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2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[Accts_Receivable_Payable_Dashboard.xlsm]Pivots!PivotTable6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Bills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30000">
                <a:schemeClr val="accent1">
                  <a:lumMod val="75000"/>
                </a:schemeClr>
              </a:gs>
              <a:gs pos="84000">
                <a:schemeClr val="accent1">
                  <a:lumMod val="75000"/>
                  <a:alpha val="46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985397699318155E-2"/>
          <c:y val="8.0079365079365097E-2"/>
          <c:w val="0.89141340189384599"/>
          <c:h val="0.56207661542307219"/>
        </c:manualLayout>
      </c:layout>
      <c:areaChart>
        <c:grouping val="standard"/>
        <c:varyColors val="0"/>
        <c:ser>
          <c:idx val="0"/>
          <c:order val="0"/>
          <c:tx>
            <c:strRef>
              <c:f>Pivots!$Q$14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30000">
                  <a:schemeClr val="accent1">
                    <a:lumMod val="75000"/>
                  </a:schemeClr>
                </a:gs>
                <a:gs pos="84000">
                  <a:schemeClr val="accent1">
                    <a:lumMod val="75000"/>
                    <a:alpha val="46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Pivots!$P$15:$P$25</c:f>
              <c:strCache>
                <c:ptCount val="10"/>
                <c:pt idx="0">
                  <c:v>Equipment</c:v>
                </c:pt>
                <c:pt idx="1">
                  <c:v>Insurance</c:v>
                </c:pt>
                <c:pt idx="2">
                  <c:v>Maintenance and Repairs</c:v>
                </c:pt>
                <c:pt idx="3">
                  <c:v>Marketing and Advertising</c:v>
                </c:pt>
                <c:pt idx="4">
                  <c:v>Office Supplies</c:v>
                </c:pt>
                <c:pt idx="5">
                  <c:v>Professional Services</c:v>
                </c:pt>
                <c:pt idx="6">
                  <c:v>Rent</c:v>
                </c:pt>
                <c:pt idx="7">
                  <c:v>Salaries and Wages</c:v>
                </c:pt>
                <c:pt idx="8">
                  <c:v>Travel Expenses</c:v>
                </c:pt>
                <c:pt idx="9">
                  <c:v>Utilities</c:v>
                </c:pt>
              </c:strCache>
            </c:strRef>
          </c:cat>
          <c:val>
            <c:numRef>
              <c:f>Pivots!$Q$15:$Q$25</c:f>
              <c:numCache>
                <c:formatCode>"$"#,##0.00</c:formatCode>
                <c:ptCount val="10"/>
                <c:pt idx="0">
                  <c:v>4255</c:v>
                </c:pt>
                <c:pt idx="1">
                  <c:v>1684.5714285714271</c:v>
                </c:pt>
                <c:pt idx="2">
                  <c:v>5080.6904761904734</c:v>
                </c:pt>
                <c:pt idx="3">
                  <c:v>2541.2380952380931</c:v>
                </c:pt>
                <c:pt idx="4">
                  <c:v>4813.9285714285734</c:v>
                </c:pt>
                <c:pt idx="5">
                  <c:v>3943.5595238095229</c:v>
                </c:pt>
                <c:pt idx="6">
                  <c:v>8826.9999999999945</c:v>
                </c:pt>
                <c:pt idx="7">
                  <c:v>2681.6190476190532</c:v>
                </c:pt>
                <c:pt idx="8">
                  <c:v>2846.4047619047633</c:v>
                </c:pt>
                <c:pt idx="9">
                  <c:v>3588.3095238095229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19-4A2C-AAC3-984859C05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153087"/>
        <c:axId val="1824163167"/>
      </c:areaChart>
      <c:catAx>
        <c:axId val="18241530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163167"/>
        <c:crosses val="autoZero"/>
        <c:auto val="1"/>
        <c:lblAlgn val="ctr"/>
        <c:lblOffset val="100"/>
        <c:noMultiLvlLbl val="0"/>
      </c:catAx>
      <c:valAx>
        <c:axId val="1824163167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1824153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chart" Target="../charts/chart1.xml"/><Relationship Id="rId26" Type="http://schemas.openxmlformats.org/officeDocument/2006/relationships/image" Target="../media/image25.svg"/><Relationship Id="rId39" Type="http://schemas.openxmlformats.org/officeDocument/2006/relationships/image" Target="../media/image36.svg"/><Relationship Id="rId21" Type="http://schemas.openxmlformats.org/officeDocument/2006/relationships/image" Target="../media/image20.png"/><Relationship Id="rId34" Type="http://schemas.openxmlformats.org/officeDocument/2006/relationships/image" Target="../media/image32.jpe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5" Type="http://schemas.openxmlformats.org/officeDocument/2006/relationships/image" Target="../media/image24.png"/><Relationship Id="rId33" Type="http://schemas.openxmlformats.org/officeDocument/2006/relationships/chart" Target="../charts/chart3.xml"/><Relationship Id="rId38" Type="http://schemas.openxmlformats.org/officeDocument/2006/relationships/image" Target="../media/image3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19.svg"/><Relationship Id="rId29" Type="http://schemas.openxmlformats.org/officeDocument/2006/relationships/chart" Target="../charts/chart2.xm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24" Type="http://schemas.openxmlformats.org/officeDocument/2006/relationships/image" Target="../media/image23.svg"/><Relationship Id="rId32" Type="http://schemas.openxmlformats.org/officeDocument/2006/relationships/image" Target="../media/image30.svg"/><Relationship Id="rId37" Type="http://schemas.openxmlformats.org/officeDocument/2006/relationships/image" Target="../media/image34.svg"/><Relationship Id="rId40" Type="http://schemas.openxmlformats.org/officeDocument/2006/relationships/chart" Target="../charts/chart6.xml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23" Type="http://schemas.openxmlformats.org/officeDocument/2006/relationships/image" Target="../media/image22.png"/><Relationship Id="rId28" Type="http://schemas.openxmlformats.org/officeDocument/2006/relationships/image" Target="../media/image27.svg"/><Relationship Id="rId36" Type="http://schemas.openxmlformats.org/officeDocument/2006/relationships/chart" Target="../charts/chart5.xml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29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6.png"/><Relationship Id="rId30" Type="http://schemas.openxmlformats.org/officeDocument/2006/relationships/image" Target="../media/image28.png"/><Relationship Id="rId35" Type="http://schemas.openxmlformats.org/officeDocument/2006/relationships/chart" Target="../charts/chart4.xml"/><Relationship Id="rId8" Type="http://schemas.openxmlformats.org/officeDocument/2006/relationships/image" Target="../media/image8.png"/><Relationship Id="rId3" Type="http://schemas.openxmlformats.org/officeDocument/2006/relationships/image" Target="../media/image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57148</xdr:colOff>
      <xdr:row>18</xdr:row>
      <xdr:rowOff>57152</xdr:rowOff>
    </xdr:from>
    <xdr:to>
      <xdr:col>2</xdr:col>
      <xdr:colOff>447674</xdr:colOff>
      <xdr:row>26</xdr:row>
      <xdr:rowOff>25978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4180447-1D8F-3E0E-D3BF-427CFB974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12135" y="3431165"/>
          <a:ext cx="1492826" cy="1602799"/>
        </a:xfrm>
        <a:prstGeom prst="rect">
          <a:avLst/>
        </a:prstGeom>
      </xdr:spPr>
    </xdr:pic>
    <xdr:clientData/>
  </xdr:twoCellAnchor>
  <xdr:twoCellAnchor>
    <xdr:from>
      <xdr:col>0</xdr:col>
      <xdr:colOff>48820</xdr:colOff>
      <xdr:row>1</xdr:row>
      <xdr:rowOff>152399</xdr:rowOff>
    </xdr:from>
    <xdr:to>
      <xdr:col>2</xdr:col>
      <xdr:colOff>466725</xdr:colOff>
      <xdr:row>27</xdr:row>
      <xdr:rowOff>43295</xdr:rowOff>
    </xdr:to>
    <xdr:sp macro="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D916BBA3-D9D2-D12E-B212-D9F6D51FD00A}"/>
            </a:ext>
          </a:extLst>
        </xdr:cNvPr>
        <xdr:cNvSpPr/>
      </xdr:nvSpPr>
      <xdr:spPr>
        <a:xfrm rot="16200000">
          <a:off x="-1558039" y="1949758"/>
          <a:ext cx="4843896" cy="1630178"/>
        </a:xfrm>
        <a:prstGeom prst="round2SameRect">
          <a:avLst/>
        </a:prstGeom>
        <a:gradFill>
          <a:gsLst>
            <a:gs pos="0">
              <a:schemeClr val="accent1"/>
            </a:gs>
            <a:gs pos="100000">
              <a:schemeClr val="accent1">
                <a:alpha val="73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428387</xdr:colOff>
      <xdr:row>40</xdr:row>
      <xdr:rowOff>180975</xdr:rowOff>
    </xdr:from>
    <xdr:to>
      <xdr:col>25</xdr:col>
      <xdr:colOff>161925</xdr:colOff>
      <xdr:row>66</xdr:row>
      <xdr:rowOff>95250</xdr:rowOff>
    </xdr:to>
    <xdr:sp macro="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840A15B0-E5CE-F044-78C4-642971EDB3D7}"/>
            </a:ext>
          </a:extLst>
        </xdr:cNvPr>
        <xdr:cNvSpPr/>
      </xdr:nvSpPr>
      <xdr:spPr>
        <a:xfrm rot="5400000">
          <a:off x="7615118" y="4881444"/>
          <a:ext cx="4867275" cy="10706338"/>
        </a:xfrm>
        <a:prstGeom prst="round2SameRect">
          <a:avLst>
            <a:gd name="adj1" fmla="val 3285"/>
            <a:gd name="adj2" fmla="val 0"/>
          </a:avLst>
        </a:prstGeom>
        <a:solidFill>
          <a:schemeClr val="bg1">
            <a:alpha val="23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171452</xdr:colOff>
      <xdr:row>5</xdr:row>
      <xdr:rowOff>104775</xdr:rowOff>
    </xdr:from>
    <xdr:to>
      <xdr:col>2</xdr:col>
      <xdr:colOff>466725</xdr:colOff>
      <xdr:row>7</xdr:row>
      <xdr:rowOff>190499</xdr:rowOff>
    </xdr:to>
    <xdr:sp macro="[0]!receivables" textlink="">
      <xdr:nvSpPr>
        <xdr:cNvPr id="4" name="RecBtn">
          <a:extLst>
            <a:ext uri="{FF2B5EF4-FFF2-40B4-BE49-F238E27FC236}">
              <a16:creationId xmlns:a16="http://schemas.microsoft.com/office/drawing/2014/main" id="{26DAD6DA-1264-4C8F-77D0-AABF215B23DB}"/>
            </a:ext>
          </a:extLst>
        </xdr:cNvPr>
        <xdr:cNvSpPr/>
      </xdr:nvSpPr>
      <xdr:spPr>
        <a:xfrm rot="16200000">
          <a:off x="695327" y="342900"/>
          <a:ext cx="466724" cy="1514473"/>
        </a:xfrm>
        <a:prstGeom prst="round2SameRect">
          <a:avLst>
            <a:gd name="adj1" fmla="val 50000"/>
            <a:gd name="adj2" fmla="val 0"/>
          </a:avLst>
        </a:prstGeom>
        <a:solidFill>
          <a:srgbClr val="2F559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171452</xdr:colOff>
      <xdr:row>14</xdr:row>
      <xdr:rowOff>142875</xdr:rowOff>
    </xdr:from>
    <xdr:to>
      <xdr:col>2</xdr:col>
      <xdr:colOff>466725</xdr:colOff>
      <xdr:row>17</xdr:row>
      <xdr:rowOff>38099</xdr:rowOff>
    </xdr:to>
    <xdr:sp macro="[0]!Calender" textlink="">
      <xdr:nvSpPr>
        <xdr:cNvPr id="6" name="CalBtn">
          <a:extLst>
            <a:ext uri="{FF2B5EF4-FFF2-40B4-BE49-F238E27FC236}">
              <a16:creationId xmlns:a16="http://schemas.microsoft.com/office/drawing/2014/main" id="{5FE43D6C-3D55-543D-0B21-B411F19CBB5B}"/>
            </a:ext>
          </a:extLst>
        </xdr:cNvPr>
        <xdr:cNvSpPr/>
      </xdr:nvSpPr>
      <xdr:spPr>
        <a:xfrm rot="16200000">
          <a:off x="695327" y="2095500"/>
          <a:ext cx="466724" cy="1514473"/>
        </a:xfrm>
        <a:prstGeom prst="round2SameRect">
          <a:avLst>
            <a:gd name="adj1" fmla="val 50000"/>
            <a:gd name="adj2" fmla="val 0"/>
          </a:avLst>
        </a:prstGeom>
        <a:solidFill>
          <a:srgbClr val="D9E1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438150</xdr:colOff>
      <xdr:row>5</xdr:row>
      <xdr:rowOff>171450</xdr:rowOff>
    </xdr:from>
    <xdr:to>
      <xdr:col>2</xdr:col>
      <xdr:colOff>466725</xdr:colOff>
      <xdr:row>7</xdr:row>
      <xdr:rowOff>104775</xdr:rowOff>
    </xdr:to>
    <xdr:sp macro="[0]!receivables" textlink="">
      <xdr:nvSpPr>
        <xdr:cNvPr id="7" name="RecText">
          <a:extLst>
            <a:ext uri="{FF2B5EF4-FFF2-40B4-BE49-F238E27FC236}">
              <a16:creationId xmlns:a16="http://schemas.microsoft.com/office/drawing/2014/main" id="{FAB62A03-5D77-8C37-BD64-EF33140D8A5A}"/>
            </a:ext>
          </a:extLst>
        </xdr:cNvPr>
        <xdr:cNvSpPr txBox="1"/>
      </xdr:nvSpPr>
      <xdr:spPr>
        <a:xfrm>
          <a:off x="438150" y="933450"/>
          <a:ext cx="1247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400" b="1">
              <a:solidFill>
                <a:srgbClr val="FFFFFF"/>
              </a:solidFill>
              <a:latin typeface="Abadi" panose="020B0604020104020204" pitchFamily="34" charset="0"/>
            </a:rPr>
            <a:t>RECEIVABLES</a:t>
          </a:r>
        </a:p>
      </xdr:txBody>
    </xdr:sp>
    <xdr:clientData/>
  </xdr:twoCellAnchor>
  <xdr:twoCellAnchor>
    <xdr:from>
      <xdr:col>0</xdr:col>
      <xdr:colOff>438150</xdr:colOff>
      <xdr:row>15</xdr:row>
      <xdr:rowOff>19050</xdr:rowOff>
    </xdr:from>
    <xdr:to>
      <xdr:col>2</xdr:col>
      <xdr:colOff>466725</xdr:colOff>
      <xdr:row>16</xdr:row>
      <xdr:rowOff>142875</xdr:rowOff>
    </xdr:to>
    <xdr:sp macro="[0]!Calender" textlink="">
      <xdr:nvSpPr>
        <xdr:cNvPr id="8" name="CalText">
          <a:extLst>
            <a:ext uri="{FF2B5EF4-FFF2-40B4-BE49-F238E27FC236}">
              <a16:creationId xmlns:a16="http://schemas.microsoft.com/office/drawing/2014/main" id="{5B6077C9-6483-17CF-0051-294ECF2C4FCC}"/>
            </a:ext>
          </a:extLst>
        </xdr:cNvPr>
        <xdr:cNvSpPr txBox="1"/>
      </xdr:nvSpPr>
      <xdr:spPr>
        <a:xfrm>
          <a:off x="438150" y="2686050"/>
          <a:ext cx="1247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400" b="1">
              <a:solidFill>
                <a:srgbClr val="767171"/>
              </a:solidFill>
              <a:latin typeface="Abadi" panose="020B0604020104020204" pitchFamily="34" charset="0"/>
            </a:rPr>
            <a:t>CALENDAR</a:t>
          </a:r>
        </a:p>
      </xdr:txBody>
    </xdr:sp>
    <xdr:clientData/>
  </xdr:twoCellAnchor>
  <xdr:twoCellAnchor>
    <xdr:from>
      <xdr:col>3</xdr:col>
      <xdr:colOff>38099</xdr:colOff>
      <xdr:row>1</xdr:row>
      <xdr:rowOff>160156</xdr:rowOff>
    </xdr:from>
    <xdr:to>
      <xdr:col>5</xdr:col>
      <xdr:colOff>577397</xdr:colOff>
      <xdr:row>4</xdr:row>
      <xdr:rowOff>179206</xdr:rowOff>
    </xdr:to>
    <xdr:grpSp>
      <xdr:nvGrpSpPr>
        <xdr:cNvPr id="91" name="Group 90">
          <a:extLst>
            <a:ext uri="{FF2B5EF4-FFF2-40B4-BE49-F238E27FC236}">
              <a16:creationId xmlns:a16="http://schemas.microsoft.com/office/drawing/2014/main" id="{F56BD5A5-AB43-DF1A-F0A9-D32DFA3D0A5B}"/>
            </a:ext>
          </a:extLst>
        </xdr:cNvPr>
        <xdr:cNvGrpSpPr/>
      </xdr:nvGrpSpPr>
      <xdr:grpSpPr>
        <a:xfrm>
          <a:off x="1875063" y="354544"/>
          <a:ext cx="1763941" cy="602213"/>
          <a:chOff x="1866899" y="350656"/>
          <a:chExt cx="1758498" cy="590550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42AA617-6B64-5F2C-B2A9-A4C2C885923E}"/>
              </a:ext>
            </a:extLst>
          </xdr:cNvPr>
          <xdr:cNvSpPr/>
        </xdr:nvSpPr>
        <xdr:spPr>
          <a:xfrm>
            <a:off x="1866899" y="350656"/>
            <a:ext cx="1758498" cy="580863"/>
          </a:xfrm>
          <a:prstGeom prst="roundRect">
            <a:avLst>
              <a:gd name="adj" fmla="val 14540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Rectangle: Top Corners Rounded 12">
            <a:extLst>
              <a:ext uri="{FF2B5EF4-FFF2-40B4-BE49-F238E27FC236}">
                <a16:creationId xmlns:a16="http://schemas.microsoft.com/office/drawing/2014/main" id="{0E30280C-9F6D-B81C-E749-68DF886C05DA}"/>
              </a:ext>
            </a:extLst>
          </xdr:cNvPr>
          <xdr:cNvSpPr/>
        </xdr:nvSpPr>
        <xdr:spPr>
          <a:xfrm rot="16200000">
            <a:off x="1628578" y="588980"/>
            <a:ext cx="590550" cy="113901"/>
          </a:xfrm>
          <a:prstGeom prst="round2SameRect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92166590-8D4E-9D1B-8B82-4CBB4C2DA487}"/>
              </a:ext>
            </a:extLst>
          </xdr:cNvPr>
          <xdr:cNvSpPr txBox="1"/>
        </xdr:nvSpPr>
        <xdr:spPr>
          <a:xfrm>
            <a:off x="2303313" y="362863"/>
            <a:ext cx="1182396" cy="17101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1">
                    <a:lumMod val="65000"/>
                  </a:schemeClr>
                </a:solidFill>
                <a:latin typeface="Abadi" panose="020B0604020104020204" pitchFamily="34" charset="0"/>
              </a:rPr>
              <a:t>BILLS TO PAY</a:t>
            </a:r>
          </a:p>
        </xdr:txBody>
      </xdr:sp>
      <xdr:sp macro="" textlink="Pivots!J17">
        <xdr:nvSpPr>
          <xdr:cNvPr id="17" name="TextBox 16">
            <a:extLst>
              <a:ext uri="{FF2B5EF4-FFF2-40B4-BE49-F238E27FC236}">
                <a16:creationId xmlns:a16="http://schemas.microsoft.com/office/drawing/2014/main" id="{65143EB2-8C1B-F3A3-9B8F-1041936E7BE2}"/>
              </a:ext>
            </a:extLst>
          </xdr:cNvPr>
          <xdr:cNvSpPr txBox="1"/>
        </xdr:nvSpPr>
        <xdr:spPr>
          <a:xfrm>
            <a:off x="2366947" y="531540"/>
            <a:ext cx="1182396" cy="3323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19D09C3-5AAD-4D62-88C8-FA4B19AD5FC5}" type="TxLink">
              <a:rPr lang="en-US" sz="1400" b="1" i="0" u="none" strike="noStrike">
                <a:solidFill>
                  <a:srgbClr val="000000"/>
                </a:solidFill>
                <a:latin typeface="Aptos Narrow"/>
              </a:rPr>
              <a:pPr algn="ctr"/>
              <a:t>23</a:t>
            </a:fld>
            <a:endParaRPr lang="en-US" sz="1800" b="1">
              <a:solidFill>
                <a:schemeClr val="tx1"/>
              </a:solidFill>
              <a:latin typeface="Abadi" panose="020B0604020104020204" pitchFamily="34" charset="0"/>
            </a:endParaRPr>
          </a:p>
        </xdr:txBody>
      </xdr: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60EB457E-ECB5-2488-2BF3-3FBD7F80CE80}"/>
              </a:ext>
            </a:extLst>
          </xdr:cNvPr>
          <xdr:cNvGrpSpPr/>
        </xdr:nvGrpSpPr>
        <xdr:grpSpPr>
          <a:xfrm>
            <a:off x="1980524" y="448434"/>
            <a:ext cx="438319" cy="410334"/>
            <a:chOff x="3860575" y="1635266"/>
            <a:chExt cx="914400" cy="914400"/>
          </a:xfrm>
        </xdr:grpSpPr>
        <xdr:pic>
          <xdr:nvPicPr>
            <xdr:cNvPr id="45" name="Graphic 44" descr="Laptop with solid fill">
              <a:extLst>
                <a:ext uri="{FF2B5EF4-FFF2-40B4-BE49-F238E27FC236}">
                  <a16:creationId xmlns:a16="http://schemas.microsoft.com/office/drawing/2014/main" id="{CDED62B2-5760-809D-892F-A5938A299E3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3860575" y="1635266"/>
              <a:ext cx="914400" cy="914400"/>
            </a:xfrm>
            <a:prstGeom prst="rect">
              <a:avLst/>
            </a:prstGeom>
          </xdr:spPr>
        </xdr:pic>
        <xdr:pic>
          <xdr:nvPicPr>
            <xdr:cNvPr id="47" name="Graphic 46" descr="Bank with solid fill">
              <a:extLst>
                <a:ext uri="{FF2B5EF4-FFF2-40B4-BE49-F238E27FC236}">
                  <a16:creationId xmlns:a16="http://schemas.microsoft.com/office/drawing/2014/main" id="{F82092C8-0A34-2E89-1827-7DD202B0C34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4121880" y="1862855"/>
              <a:ext cx="387743" cy="33948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6</xdr:col>
      <xdr:colOff>365764</xdr:colOff>
      <xdr:row>1</xdr:row>
      <xdr:rowOff>160156</xdr:rowOff>
    </xdr:from>
    <xdr:to>
      <xdr:col>9</xdr:col>
      <xdr:colOff>295107</xdr:colOff>
      <xdr:row>4</xdr:row>
      <xdr:rowOff>179206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F1BE5E1-2B89-1175-941B-38B027B5FF35}"/>
            </a:ext>
          </a:extLst>
        </xdr:cNvPr>
        <xdr:cNvGrpSpPr/>
      </xdr:nvGrpSpPr>
      <xdr:grpSpPr>
        <a:xfrm>
          <a:off x="4039693" y="354544"/>
          <a:ext cx="1766307" cy="602213"/>
          <a:chOff x="3812548" y="350656"/>
          <a:chExt cx="1758143" cy="590550"/>
        </a:xfrm>
      </xdr:grpSpPr>
      <xdr:sp macro="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01881DAE-FBD6-BE17-85AE-15BB7A3DE87E}"/>
              </a:ext>
            </a:extLst>
          </xdr:cNvPr>
          <xdr:cNvSpPr/>
        </xdr:nvSpPr>
        <xdr:spPr>
          <a:xfrm>
            <a:off x="3812548" y="350656"/>
            <a:ext cx="1758143" cy="580863"/>
          </a:xfrm>
          <a:prstGeom prst="roundRect">
            <a:avLst>
              <a:gd name="adj" fmla="val 14540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Rectangle: Top Corners Rounded 20">
            <a:extLst>
              <a:ext uri="{FF2B5EF4-FFF2-40B4-BE49-F238E27FC236}">
                <a16:creationId xmlns:a16="http://schemas.microsoft.com/office/drawing/2014/main" id="{A8140CF8-A1A4-A444-6BB6-C30C5595A645}"/>
              </a:ext>
            </a:extLst>
          </xdr:cNvPr>
          <xdr:cNvSpPr/>
        </xdr:nvSpPr>
        <xdr:spPr>
          <a:xfrm rot="16200000">
            <a:off x="3574129" y="589079"/>
            <a:ext cx="590550" cy="113703"/>
          </a:xfrm>
          <a:prstGeom prst="round2SameRect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F9E0DD02-6D43-C4C9-3DDF-0DF40FFC0124}"/>
              </a:ext>
            </a:extLst>
          </xdr:cNvPr>
          <xdr:cNvSpPr txBox="1"/>
        </xdr:nvSpPr>
        <xdr:spPr>
          <a:xfrm>
            <a:off x="4335588" y="384778"/>
            <a:ext cx="1180347" cy="1743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1">
                    <a:lumMod val="65000"/>
                  </a:schemeClr>
                </a:solidFill>
                <a:latin typeface="Abadi" panose="020B0604020104020204" pitchFamily="34" charset="0"/>
              </a:rPr>
              <a:t>Total Payables</a:t>
            </a:r>
          </a:p>
        </xdr:txBody>
      </xdr:sp>
      <xdr:sp macro="" textlink="Pivots!J18">
        <xdr:nvSpPr>
          <xdr:cNvPr id="23" name="TextBox 22">
            <a:extLst>
              <a:ext uri="{FF2B5EF4-FFF2-40B4-BE49-F238E27FC236}">
                <a16:creationId xmlns:a16="http://schemas.microsoft.com/office/drawing/2014/main" id="{C499A42E-C2D4-1B82-2286-C2A799CBA399}"/>
              </a:ext>
            </a:extLst>
          </xdr:cNvPr>
          <xdr:cNvSpPr txBox="1"/>
        </xdr:nvSpPr>
        <xdr:spPr>
          <a:xfrm>
            <a:off x="4348653" y="531540"/>
            <a:ext cx="1180347" cy="3323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F443B52-DAB9-4A25-B3E5-F752F457E83B}" type="TxLink">
              <a:rPr lang="en-US" sz="1400" b="1" i="0" u="none" strike="noStrike">
                <a:solidFill>
                  <a:srgbClr val="000000"/>
                </a:solidFill>
                <a:latin typeface="Aptos Narrow"/>
              </a:rPr>
              <a:pPr algn="ctr"/>
              <a:t>$21,424.07 </a:t>
            </a:fld>
            <a:endParaRPr lang="en-US" sz="1800" b="1">
              <a:solidFill>
                <a:schemeClr val="tx1"/>
              </a:solidFill>
              <a:latin typeface="Abadi" panose="020B0604020104020204" pitchFamily="34" charset="0"/>
            </a:endParaRPr>
          </a:p>
        </xdr:txBody>
      </xdr:sp>
      <xdr:pic>
        <xdr:nvPicPr>
          <xdr:cNvPr id="50" name="Graphic 49" descr="Money with solid fill">
            <a:extLst>
              <a:ext uri="{FF2B5EF4-FFF2-40B4-BE49-F238E27FC236}">
                <a16:creationId xmlns:a16="http://schemas.microsoft.com/office/drawing/2014/main" id="{14141C59-A839-B82F-3B04-699AAAFD5B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4072739" y="475447"/>
            <a:ext cx="277017" cy="350144"/>
          </a:xfrm>
          <a:prstGeom prst="rect">
            <a:avLst/>
          </a:prstGeom>
        </xdr:spPr>
      </xdr:pic>
      <xdr:pic>
        <xdr:nvPicPr>
          <xdr:cNvPr id="52" name="Graphic 51" descr="Smart Phone with solid fill">
            <a:extLst>
              <a:ext uri="{FF2B5EF4-FFF2-40B4-BE49-F238E27FC236}">
                <a16:creationId xmlns:a16="http://schemas.microsoft.com/office/drawing/2014/main" id="{C2472203-9E6A-7C71-6EE5-3118A57718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 rot="5400000">
            <a:off x="3906124" y="545350"/>
            <a:ext cx="350144" cy="27432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83475</xdr:colOff>
      <xdr:row>1</xdr:row>
      <xdr:rowOff>160156</xdr:rowOff>
    </xdr:from>
    <xdr:to>
      <xdr:col>13</xdr:col>
      <xdr:colOff>15869</xdr:colOff>
      <xdr:row>4</xdr:row>
      <xdr:rowOff>179206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C10FF4F-378F-AD8F-C562-921041A5053D}"/>
            </a:ext>
          </a:extLst>
        </xdr:cNvPr>
        <xdr:cNvGrpSpPr/>
      </xdr:nvGrpSpPr>
      <xdr:grpSpPr>
        <a:xfrm>
          <a:off x="6206689" y="354544"/>
          <a:ext cx="1769359" cy="602213"/>
          <a:chOff x="5780789" y="350656"/>
          <a:chExt cx="1761195" cy="590550"/>
        </a:xfrm>
      </xdr:grpSpPr>
      <xdr:sp macro="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4E47AF79-157F-E446-6692-D45F34FC19A2}"/>
              </a:ext>
            </a:extLst>
          </xdr:cNvPr>
          <xdr:cNvSpPr/>
        </xdr:nvSpPr>
        <xdr:spPr>
          <a:xfrm>
            <a:off x="5780789" y="350656"/>
            <a:ext cx="1761195" cy="581026"/>
          </a:xfrm>
          <a:prstGeom prst="roundRect">
            <a:avLst>
              <a:gd name="adj" fmla="val 14540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" name="Rectangle: Top Corners Rounded 40">
            <a:extLst>
              <a:ext uri="{FF2B5EF4-FFF2-40B4-BE49-F238E27FC236}">
                <a16:creationId xmlns:a16="http://schemas.microsoft.com/office/drawing/2014/main" id="{E81C29BA-0915-D0C2-A2A0-B631CC0DAD59}"/>
              </a:ext>
            </a:extLst>
          </xdr:cNvPr>
          <xdr:cNvSpPr/>
        </xdr:nvSpPr>
        <xdr:spPr>
          <a:xfrm rot="16200000">
            <a:off x="5542666" y="588782"/>
            <a:ext cx="590550" cy="114298"/>
          </a:xfrm>
          <a:prstGeom prst="round2Same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DE5409A6-99D3-5A3A-8055-B02BFCFBD576}"/>
              </a:ext>
            </a:extLst>
          </xdr:cNvPr>
          <xdr:cNvSpPr txBox="1"/>
        </xdr:nvSpPr>
        <xdr:spPr>
          <a:xfrm>
            <a:off x="6150285" y="369707"/>
            <a:ext cx="1371600" cy="17144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1">
                    <a:lumMod val="65000"/>
                  </a:schemeClr>
                </a:solidFill>
                <a:latin typeface="Abadi" panose="020B0604020104020204" pitchFamily="34" charset="0"/>
              </a:rPr>
              <a:t>Payments</a:t>
            </a:r>
            <a:r>
              <a:rPr lang="en-US" sz="1100" b="1" baseline="0">
                <a:solidFill>
                  <a:schemeClr val="bg1">
                    <a:lumMod val="65000"/>
                  </a:schemeClr>
                </a:solidFill>
                <a:latin typeface="Abadi" panose="020B0604020104020204" pitchFamily="34" charset="0"/>
              </a:rPr>
              <a:t> to receive</a:t>
            </a:r>
            <a:endParaRPr lang="en-US" sz="1100" b="1">
              <a:solidFill>
                <a:schemeClr val="bg1">
                  <a:lumMod val="65000"/>
                </a:schemeClr>
              </a:solidFill>
              <a:latin typeface="Abadi" panose="020B0604020104020204" pitchFamily="34" charset="0"/>
            </a:endParaRPr>
          </a:p>
        </xdr:txBody>
      </xdr:sp>
      <xdr:sp macro="" textlink="Pivots!J19">
        <xdr:nvSpPr>
          <xdr:cNvPr id="43" name="TextBox 42">
            <a:extLst>
              <a:ext uri="{FF2B5EF4-FFF2-40B4-BE49-F238E27FC236}">
                <a16:creationId xmlns:a16="http://schemas.microsoft.com/office/drawing/2014/main" id="{3F29949A-5F4F-5452-A90E-BD0BD9CECB3F}"/>
              </a:ext>
            </a:extLst>
          </xdr:cNvPr>
          <xdr:cNvSpPr txBox="1"/>
        </xdr:nvSpPr>
        <xdr:spPr>
          <a:xfrm>
            <a:off x="6284247" y="533878"/>
            <a:ext cx="1181100" cy="3300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DAF30EF7-64B1-46DE-95DF-E1143163B1C5}" type="TxLink">
              <a:rPr lang="en-US" sz="1400" b="1" i="0" u="none" strike="noStrike">
                <a:solidFill>
                  <a:srgbClr val="000000"/>
                </a:solidFill>
                <a:latin typeface="Aptos Narrow"/>
              </a:rPr>
              <a:pPr algn="ctr"/>
              <a:t>21</a:t>
            </a:fld>
            <a:endParaRPr lang="en-US" sz="1800" b="1">
              <a:solidFill>
                <a:schemeClr val="tx1"/>
              </a:solidFill>
              <a:latin typeface="Abadi" panose="020B0604020104020204" pitchFamily="34" charset="0"/>
            </a:endParaRPr>
          </a:p>
        </xdr:txBody>
      </xdr:sp>
      <xdr:pic>
        <xdr:nvPicPr>
          <xdr:cNvPr id="56" name="Graphic 55" descr="Money with solid fill">
            <a:extLst>
              <a:ext uri="{FF2B5EF4-FFF2-40B4-BE49-F238E27FC236}">
                <a16:creationId xmlns:a16="http://schemas.microsoft.com/office/drawing/2014/main" id="{12880AB7-6CB0-A2E1-BBB9-E3C8B4FAE5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6011204" y="465291"/>
            <a:ext cx="303954" cy="295495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159138</xdr:colOff>
      <xdr:row>1</xdr:row>
      <xdr:rowOff>160156</xdr:rowOff>
    </xdr:from>
    <xdr:to>
      <xdr:col>20</xdr:col>
      <xdr:colOff>169920</xdr:colOff>
      <xdr:row>4</xdr:row>
      <xdr:rowOff>179206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59DEF78F-E142-DC24-6019-2732E3E612E1}"/>
            </a:ext>
          </a:extLst>
        </xdr:cNvPr>
        <xdr:cNvGrpSpPr/>
      </xdr:nvGrpSpPr>
      <xdr:grpSpPr>
        <a:xfrm>
          <a:off x="10568602" y="354544"/>
          <a:ext cx="1847747" cy="602213"/>
          <a:chOff x="10291803" y="350656"/>
          <a:chExt cx="1839583" cy="590550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1F2BF99-3EAC-8E9A-B91A-A97BA423A67D}"/>
              </a:ext>
            </a:extLst>
          </xdr:cNvPr>
          <xdr:cNvSpPr/>
        </xdr:nvSpPr>
        <xdr:spPr>
          <a:xfrm>
            <a:off x="10291803" y="350656"/>
            <a:ext cx="1839583" cy="580863"/>
          </a:xfrm>
          <a:prstGeom prst="roundRect">
            <a:avLst>
              <a:gd name="adj" fmla="val 14540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Rectangle: Top Corners Rounded 30">
            <a:extLst>
              <a:ext uri="{FF2B5EF4-FFF2-40B4-BE49-F238E27FC236}">
                <a16:creationId xmlns:a16="http://schemas.microsoft.com/office/drawing/2014/main" id="{1D4EDF85-702A-5B5F-5F5B-7EAA4090AADE}"/>
              </a:ext>
            </a:extLst>
          </xdr:cNvPr>
          <xdr:cNvSpPr/>
        </xdr:nvSpPr>
        <xdr:spPr>
          <a:xfrm rot="16200000">
            <a:off x="10054733" y="587730"/>
            <a:ext cx="590550" cy="116401"/>
          </a:xfrm>
          <a:prstGeom prst="round2SameRect">
            <a:avLst/>
          </a:prstGeom>
          <a:solidFill>
            <a:srgbClr val="ED8137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Pivots!I21">
        <xdr:nvSpPr>
          <xdr:cNvPr id="32" name="TextBox 31">
            <a:extLst>
              <a:ext uri="{FF2B5EF4-FFF2-40B4-BE49-F238E27FC236}">
                <a16:creationId xmlns:a16="http://schemas.microsoft.com/office/drawing/2014/main" id="{B388E8A8-9912-995B-60F7-A75B13CF5586}"/>
              </a:ext>
            </a:extLst>
          </xdr:cNvPr>
          <xdr:cNvSpPr txBox="1"/>
        </xdr:nvSpPr>
        <xdr:spPr>
          <a:xfrm>
            <a:off x="10416372" y="379720"/>
            <a:ext cx="1671718" cy="1398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A20DDF68-41A8-4A6E-94BF-C5DC5BBF09D9}" type="TxLink">
              <a:rPr lang="en-US" sz="1100" b="1">
                <a:solidFill>
                  <a:schemeClr val="bg1">
                    <a:lumMod val="65000"/>
                  </a:schemeClr>
                </a:solidFill>
                <a:latin typeface="Abadi" panose="020B0604020104020204" pitchFamily="34" charset="0"/>
                <a:ea typeface="+mn-ea"/>
                <a:cs typeface="+mn-cs"/>
              </a:rPr>
              <a:pPr marL="0" indent="0" algn="ctr"/>
              <a:t>SEPTEMBER CASH FLOW</a:t>
            </a:fld>
            <a:endParaRPr lang="en-US" sz="1100" b="1">
              <a:solidFill>
                <a:schemeClr val="bg1">
                  <a:lumMod val="65000"/>
                </a:schemeClr>
              </a:solidFill>
              <a:latin typeface="Abadi" panose="020B0604020104020204" pitchFamily="34" charset="0"/>
              <a:ea typeface="+mn-ea"/>
              <a:cs typeface="+mn-cs"/>
            </a:endParaRPr>
          </a:p>
        </xdr:txBody>
      </xdr:sp>
      <xdr:sp macro="" textlink="Pivots!J21">
        <xdr:nvSpPr>
          <xdr:cNvPr id="33" name="TextBox 32">
            <a:extLst>
              <a:ext uri="{FF2B5EF4-FFF2-40B4-BE49-F238E27FC236}">
                <a16:creationId xmlns:a16="http://schemas.microsoft.com/office/drawing/2014/main" id="{AF6566B1-818F-ED5C-1837-D10DF3F8224A}"/>
              </a:ext>
            </a:extLst>
          </xdr:cNvPr>
          <xdr:cNvSpPr txBox="1"/>
        </xdr:nvSpPr>
        <xdr:spPr>
          <a:xfrm>
            <a:off x="10608750" y="531540"/>
            <a:ext cx="1180346" cy="3323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E05475DA-8DF1-4399-8766-493BCE7D2EC9}" type="TxLink">
              <a:rPr lang="en-US" sz="1400" b="1" i="0" u="none" strike="noStrike">
                <a:solidFill>
                  <a:srgbClr val="000000"/>
                </a:solidFill>
                <a:latin typeface="Aptos Narrow"/>
                <a:ea typeface="+mn-ea"/>
                <a:cs typeface="+mn-cs"/>
              </a:rPr>
              <a:pPr marL="0" indent="0" algn="ctr"/>
              <a:t>$0.00</a:t>
            </a:fld>
            <a:endParaRPr lang="en-US" sz="14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endParaRPr>
          </a:p>
        </xdr:txBody>
      </xdr:sp>
      <xdr:pic>
        <xdr:nvPicPr>
          <xdr:cNvPr id="57" name="Graphic 56" descr="Money with solid fill">
            <a:extLst>
              <a:ext uri="{FF2B5EF4-FFF2-40B4-BE49-F238E27FC236}">
                <a16:creationId xmlns:a16="http://schemas.microsoft.com/office/drawing/2014/main" id="{AC478F0D-0B97-C327-E81F-EC787B5111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0442396" y="565391"/>
            <a:ext cx="228600" cy="221857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147594</xdr:colOff>
      <xdr:row>2</xdr:row>
      <xdr:rowOff>156783</xdr:rowOff>
    </xdr:from>
    <xdr:to>
      <xdr:col>10</xdr:col>
      <xdr:colOff>491674</xdr:colOff>
      <xdr:row>4</xdr:row>
      <xdr:rowOff>131496</xdr:rowOff>
    </xdr:to>
    <xdr:pic>
      <xdr:nvPicPr>
        <xdr:cNvPr id="68" name="Graphic 67" descr="Open hand with plant with solid fill">
          <a:extLst>
            <a:ext uri="{FF2B5EF4-FFF2-40B4-BE49-F238E27FC236}">
              <a16:creationId xmlns:a16="http://schemas.microsoft.com/office/drawing/2014/main" id="{6DDE6645-C5D6-C0ED-5AD0-4C09F8D89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6243594" y="537783"/>
          <a:ext cx="344080" cy="355713"/>
        </a:xfrm>
        <a:prstGeom prst="rect">
          <a:avLst/>
        </a:prstGeom>
      </xdr:spPr>
    </xdr:pic>
    <xdr:clientData/>
  </xdr:twoCellAnchor>
  <xdr:twoCellAnchor>
    <xdr:from>
      <xdr:col>13</xdr:col>
      <xdr:colOff>416558</xdr:colOff>
      <xdr:row>1</xdr:row>
      <xdr:rowOff>160156</xdr:rowOff>
    </xdr:from>
    <xdr:to>
      <xdr:col>16</xdr:col>
      <xdr:colOff>370769</xdr:colOff>
      <xdr:row>4</xdr:row>
      <xdr:rowOff>179206</xdr:rowOff>
    </xdr:to>
    <xdr:grpSp>
      <xdr:nvGrpSpPr>
        <xdr:cNvPr id="88" name="Group 87">
          <a:extLst>
            <a:ext uri="{FF2B5EF4-FFF2-40B4-BE49-F238E27FC236}">
              <a16:creationId xmlns:a16="http://schemas.microsoft.com/office/drawing/2014/main" id="{930F3A54-D3EF-092B-9AC0-68B72CCED570}"/>
            </a:ext>
          </a:extLst>
        </xdr:cNvPr>
        <xdr:cNvGrpSpPr/>
      </xdr:nvGrpSpPr>
      <xdr:grpSpPr>
        <a:xfrm>
          <a:off x="8376737" y="354544"/>
          <a:ext cx="1791175" cy="602213"/>
          <a:chOff x="7701152" y="350656"/>
          <a:chExt cx="1783011" cy="590550"/>
        </a:xfrm>
      </xdr:grpSpPr>
      <xdr:sp macro="" textlink="">
        <xdr:nvSpPr>
          <xdr:cNvPr id="35" name="Rectangle: Rounded Corners 34">
            <a:extLst>
              <a:ext uri="{FF2B5EF4-FFF2-40B4-BE49-F238E27FC236}">
                <a16:creationId xmlns:a16="http://schemas.microsoft.com/office/drawing/2014/main" id="{EF9A1C60-B00A-0A82-51FF-34255EF82FC5}"/>
              </a:ext>
            </a:extLst>
          </xdr:cNvPr>
          <xdr:cNvSpPr/>
        </xdr:nvSpPr>
        <xdr:spPr>
          <a:xfrm>
            <a:off x="7701152" y="350656"/>
            <a:ext cx="1758142" cy="581026"/>
          </a:xfrm>
          <a:prstGeom prst="roundRect">
            <a:avLst>
              <a:gd name="adj" fmla="val 14540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Rectangle: Top Corners Rounded 35">
            <a:extLst>
              <a:ext uri="{FF2B5EF4-FFF2-40B4-BE49-F238E27FC236}">
                <a16:creationId xmlns:a16="http://schemas.microsoft.com/office/drawing/2014/main" id="{0499D01E-2358-9317-55AA-C42AB8A3A01E}"/>
              </a:ext>
            </a:extLst>
          </xdr:cNvPr>
          <xdr:cNvSpPr/>
        </xdr:nvSpPr>
        <xdr:spPr>
          <a:xfrm rot="16200000">
            <a:off x="7461680" y="590131"/>
            <a:ext cx="590550" cy="111600"/>
          </a:xfrm>
          <a:prstGeom prst="round2Same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96AF3F7D-182B-E435-96EF-2DA6F404587F}"/>
              </a:ext>
            </a:extLst>
          </xdr:cNvPr>
          <xdr:cNvSpPr txBox="1"/>
        </xdr:nvSpPr>
        <xdr:spPr>
          <a:xfrm>
            <a:off x="8197296" y="370803"/>
            <a:ext cx="1181100" cy="17144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1">
                    <a:lumMod val="65000"/>
                  </a:schemeClr>
                </a:solidFill>
                <a:latin typeface="Abadi" panose="020B0604020104020204" pitchFamily="34" charset="0"/>
              </a:rPr>
              <a:t>Total Receiables</a:t>
            </a:r>
          </a:p>
        </xdr:txBody>
      </xdr:sp>
      <xdr:sp macro="" textlink="Pivots!J20">
        <xdr:nvSpPr>
          <xdr:cNvPr id="38" name="TextBox 37">
            <a:extLst>
              <a:ext uri="{FF2B5EF4-FFF2-40B4-BE49-F238E27FC236}">
                <a16:creationId xmlns:a16="http://schemas.microsoft.com/office/drawing/2014/main" id="{D6C8E37B-F4A7-14A2-C5E0-8A6E03CE468D}"/>
              </a:ext>
            </a:extLst>
          </xdr:cNvPr>
          <xdr:cNvSpPr txBox="1"/>
        </xdr:nvSpPr>
        <xdr:spPr>
          <a:xfrm>
            <a:off x="8303063" y="533878"/>
            <a:ext cx="1181100" cy="3300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F570532-9EA4-4222-8DE6-290DFE771A2E}" type="TxLink">
              <a:rPr lang="en-US" sz="1400" b="1" i="0" u="none" strike="noStrike">
                <a:solidFill>
                  <a:srgbClr val="000000"/>
                </a:solidFill>
                <a:latin typeface="Aptos Narrow"/>
              </a:rPr>
              <a:pPr algn="ctr"/>
              <a:t>$9,875.79 </a:t>
            </a:fld>
            <a:endParaRPr lang="en-US" sz="1800" b="1">
              <a:solidFill>
                <a:schemeClr val="tx1"/>
              </a:solidFill>
              <a:latin typeface="Abadi" panose="020B0604020104020204" pitchFamily="34" charset="0"/>
            </a:endParaRPr>
          </a:p>
        </xdr:txBody>
      </xdr:sp>
      <xdr:pic>
        <xdr:nvPicPr>
          <xdr:cNvPr id="69" name="Graphic 68" descr="Money with solid fill">
            <a:extLst>
              <a:ext uri="{FF2B5EF4-FFF2-40B4-BE49-F238E27FC236}">
                <a16:creationId xmlns:a16="http://schemas.microsoft.com/office/drawing/2014/main" id="{A8E86569-3703-5B6B-0404-03B9CD030B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7961384" y="465965"/>
            <a:ext cx="301257" cy="295495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103669</xdr:colOff>
      <xdr:row>5</xdr:row>
      <xdr:rowOff>147207</xdr:rowOff>
    </xdr:from>
    <xdr:to>
      <xdr:col>20</xdr:col>
      <xdr:colOff>272142</xdr:colOff>
      <xdr:row>27</xdr:row>
      <xdr:rowOff>111333</xdr:rowOff>
    </xdr:to>
    <xdr:grpSp>
      <xdr:nvGrpSpPr>
        <xdr:cNvPr id="34" name="RecGrp" hidden="1">
          <a:extLst>
            <a:ext uri="{FF2B5EF4-FFF2-40B4-BE49-F238E27FC236}">
              <a16:creationId xmlns:a16="http://schemas.microsoft.com/office/drawing/2014/main" id="{F5D3E100-5590-DF50-3E22-5DBE39CA9F77}"/>
            </a:ext>
          </a:extLst>
        </xdr:cNvPr>
        <xdr:cNvGrpSpPr/>
      </xdr:nvGrpSpPr>
      <xdr:grpSpPr>
        <a:xfrm>
          <a:off x="1940633" y="1119146"/>
          <a:ext cx="10577938" cy="4240656"/>
          <a:chOff x="1940633" y="1099707"/>
          <a:chExt cx="9583378" cy="4155126"/>
        </a:xfrm>
      </xdr:grpSpPr>
      <xdr:sp macro="" textlink="">
        <xdr:nvSpPr>
          <xdr:cNvPr id="103" name="Rectangle: Rounded Corners 102" hidden="1">
            <a:extLst>
              <a:ext uri="{FF2B5EF4-FFF2-40B4-BE49-F238E27FC236}">
                <a16:creationId xmlns:a16="http://schemas.microsoft.com/office/drawing/2014/main" id="{A903B896-462C-58E7-5B2C-E746C5458EF4}"/>
              </a:ext>
            </a:extLst>
          </xdr:cNvPr>
          <xdr:cNvSpPr/>
        </xdr:nvSpPr>
        <xdr:spPr>
          <a:xfrm>
            <a:off x="4973037" y="3460172"/>
            <a:ext cx="4220444" cy="1735283"/>
          </a:xfrm>
          <a:prstGeom prst="roundRect">
            <a:avLst>
              <a:gd name="adj" fmla="val 8712"/>
            </a:avLst>
          </a:prstGeom>
          <a:solidFill>
            <a:schemeClr val="bg1">
              <a:alpha val="39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6" name="Rectangle: Rounded Corners 75" hidden="1">
            <a:extLst>
              <a:ext uri="{FF2B5EF4-FFF2-40B4-BE49-F238E27FC236}">
                <a16:creationId xmlns:a16="http://schemas.microsoft.com/office/drawing/2014/main" id="{49373E1C-5B79-FC3E-EFC3-0C9F89ACF7EF}"/>
              </a:ext>
            </a:extLst>
          </xdr:cNvPr>
          <xdr:cNvSpPr/>
        </xdr:nvSpPr>
        <xdr:spPr>
          <a:xfrm>
            <a:off x="1940633" y="1112815"/>
            <a:ext cx="2935224" cy="4117277"/>
          </a:xfrm>
          <a:prstGeom prst="roundRect">
            <a:avLst>
              <a:gd name="adj" fmla="val 3983"/>
            </a:avLst>
          </a:prstGeom>
          <a:gradFill>
            <a:gsLst>
              <a:gs pos="74000">
                <a:schemeClr val="tx2">
                  <a:lumMod val="60000"/>
                  <a:lumOff val="40000"/>
                  <a:alpha val="15000"/>
                </a:schemeClr>
              </a:gs>
              <a:gs pos="23000">
                <a:schemeClr val="accent1">
                  <a:alpha val="9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7" name="Rectangle: Rounded Corners 76" hidden="1">
            <a:extLst>
              <a:ext uri="{FF2B5EF4-FFF2-40B4-BE49-F238E27FC236}">
                <a16:creationId xmlns:a16="http://schemas.microsoft.com/office/drawing/2014/main" id="{4027EDBC-6A55-DF0B-AC3B-A661D964FDF4}"/>
              </a:ext>
            </a:extLst>
          </xdr:cNvPr>
          <xdr:cNvSpPr/>
        </xdr:nvSpPr>
        <xdr:spPr>
          <a:xfrm>
            <a:off x="1961043" y="1112815"/>
            <a:ext cx="2935224" cy="4091300"/>
          </a:xfrm>
          <a:prstGeom prst="roundRect">
            <a:avLst>
              <a:gd name="adj" fmla="val 3983"/>
            </a:avLst>
          </a:prstGeom>
          <a:blipFill dpi="0" rotWithShape="1">
            <a:blip xmlns:r="http://schemas.openxmlformats.org/officeDocument/2006/relationships" r:embed="rId16">
              <a:alphaModFix amt="200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Rectangle: Rounded Corners 77" hidden="1">
            <a:extLst>
              <a:ext uri="{FF2B5EF4-FFF2-40B4-BE49-F238E27FC236}">
                <a16:creationId xmlns:a16="http://schemas.microsoft.com/office/drawing/2014/main" id="{BAAFEB44-E9EE-87E5-B933-222E8E23FC2C}"/>
              </a:ext>
            </a:extLst>
          </xdr:cNvPr>
          <xdr:cNvSpPr/>
        </xdr:nvSpPr>
        <xdr:spPr>
          <a:xfrm>
            <a:off x="1963293" y="1112815"/>
            <a:ext cx="2930724" cy="4091300"/>
          </a:xfrm>
          <a:prstGeom prst="roundRect">
            <a:avLst>
              <a:gd name="adj" fmla="val 3983"/>
            </a:avLst>
          </a:prstGeom>
          <a:gradFill>
            <a:gsLst>
              <a:gs pos="74000">
                <a:schemeClr val="tx2">
                  <a:lumMod val="60000"/>
                  <a:lumOff val="40000"/>
                  <a:alpha val="15000"/>
                </a:schemeClr>
              </a:gs>
              <a:gs pos="23000">
                <a:schemeClr val="accent1">
                  <a:alpha val="9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0" name="Rectangle: Rounded Corners 79" hidden="1">
            <a:extLst>
              <a:ext uri="{FF2B5EF4-FFF2-40B4-BE49-F238E27FC236}">
                <a16:creationId xmlns:a16="http://schemas.microsoft.com/office/drawing/2014/main" id="{E065C26D-077E-C30C-2855-FBC96FE5042B}"/>
              </a:ext>
            </a:extLst>
          </xdr:cNvPr>
          <xdr:cNvSpPr/>
        </xdr:nvSpPr>
        <xdr:spPr>
          <a:xfrm>
            <a:off x="4964138" y="1143828"/>
            <a:ext cx="3207325" cy="2207239"/>
          </a:xfrm>
          <a:prstGeom prst="roundRect">
            <a:avLst>
              <a:gd name="adj" fmla="val 12186"/>
            </a:avLst>
          </a:prstGeom>
          <a:solidFill>
            <a:schemeClr val="bg1">
              <a:alpha val="56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1" name="Rectangle: Rounded Corners 80" hidden="1">
            <a:extLst>
              <a:ext uri="{FF2B5EF4-FFF2-40B4-BE49-F238E27FC236}">
                <a16:creationId xmlns:a16="http://schemas.microsoft.com/office/drawing/2014/main" id="{19B8C2A1-473E-3B2C-3276-79F9AA03050B}"/>
              </a:ext>
            </a:extLst>
          </xdr:cNvPr>
          <xdr:cNvSpPr/>
        </xdr:nvSpPr>
        <xdr:spPr>
          <a:xfrm>
            <a:off x="4964138" y="1143828"/>
            <a:ext cx="3207325" cy="2207239"/>
          </a:xfrm>
          <a:prstGeom prst="roundRect">
            <a:avLst>
              <a:gd name="adj" fmla="val 12186"/>
            </a:avLst>
          </a:prstGeom>
          <a:blipFill>
            <a:blip xmlns:r="http://schemas.openxmlformats.org/officeDocument/2006/relationships" r:embed="rId17">
              <a:alphaModFix amt="14000"/>
            </a:blip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2" name="Rectangle: Rounded Corners 81" hidden="1">
            <a:extLst>
              <a:ext uri="{FF2B5EF4-FFF2-40B4-BE49-F238E27FC236}">
                <a16:creationId xmlns:a16="http://schemas.microsoft.com/office/drawing/2014/main" id="{D33C19A4-3B1F-F2A9-4AE9-542BDCB93008}"/>
              </a:ext>
            </a:extLst>
          </xdr:cNvPr>
          <xdr:cNvSpPr/>
        </xdr:nvSpPr>
        <xdr:spPr>
          <a:xfrm>
            <a:off x="4964138" y="1143828"/>
            <a:ext cx="3207325" cy="2207239"/>
          </a:xfrm>
          <a:prstGeom prst="roundRect">
            <a:avLst>
              <a:gd name="adj" fmla="val 12186"/>
            </a:avLst>
          </a:prstGeom>
          <a:gradFill>
            <a:gsLst>
              <a:gs pos="56000">
                <a:schemeClr val="tx2">
                  <a:lumMod val="60000"/>
                  <a:lumOff val="40000"/>
                  <a:alpha val="39000"/>
                </a:schemeClr>
              </a:gs>
              <a:gs pos="14000">
                <a:schemeClr val="accent1">
                  <a:alpha val="9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79" name="Chart 78" hidden="1">
            <a:extLst>
              <a:ext uri="{FF2B5EF4-FFF2-40B4-BE49-F238E27FC236}">
                <a16:creationId xmlns:a16="http://schemas.microsoft.com/office/drawing/2014/main" id="{754B3E2A-68B3-4BD9-ABC7-4A15DD1D64A1}"/>
              </a:ext>
            </a:extLst>
          </xdr:cNvPr>
          <xdr:cNvGraphicFramePr>
            <a:graphicFrameLocks/>
          </xdr:cNvGraphicFramePr>
        </xdr:nvGraphicFramePr>
        <xdr:xfrm>
          <a:off x="4797136" y="1099707"/>
          <a:ext cx="3448793" cy="22946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83" name="Rectangle: Rounded Corners 82" hidden="1">
            <a:extLst>
              <a:ext uri="{FF2B5EF4-FFF2-40B4-BE49-F238E27FC236}">
                <a16:creationId xmlns:a16="http://schemas.microsoft.com/office/drawing/2014/main" id="{E1116D2F-3E48-C65D-17DB-DC7357E290AF}"/>
              </a:ext>
            </a:extLst>
          </xdr:cNvPr>
          <xdr:cNvSpPr/>
        </xdr:nvSpPr>
        <xdr:spPr>
          <a:xfrm>
            <a:off x="8263245" y="1160317"/>
            <a:ext cx="3156858" cy="2156114"/>
          </a:xfrm>
          <a:prstGeom prst="roundRect">
            <a:avLst>
              <a:gd name="adj" fmla="val 8712"/>
            </a:avLst>
          </a:prstGeom>
          <a:solidFill>
            <a:schemeClr val="bg1">
              <a:alpha val="39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5" name="Graphic 84" descr="Grinning face with solid fill with solid fill" hidden="1">
            <a:extLst>
              <a:ext uri="{FF2B5EF4-FFF2-40B4-BE49-F238E27FC236}">
                <a16:creationId xmlns:a16="http://schemas.microsoft.com/office/drawing/2014/main" id="{C0BDE2F7-E1E9-EF0F-F719-E54CF4BF1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8638704" y="1416866"/>
            <a:ext cx="365760" cy="365760"/>
          </a:xfrm>
          <a:prstGeom prst="rect">
            <a:avLst/>
          </a:prstGeom>
        </xdr:spPr>
      </xdr:pic>
      <xdr:pic>
        <xdr:nvPicPr>
          <xdr:cNvPr id="87" name="Graphic 86" descr="Crying face with solid fill with solid fill" hidden="1">
            <a:extLst>
              <a:ext uri="{FF2B5EF4-FFF2-40B4-BE49-F238E27FC236}">
                <a16:creationId xmlns:a16="http://schemas.microsoft.com/office/drawing/2014/main" id="{08520A72-A3A6-B52C-5DFC-205F1968D7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8638704" y="2903591"/>
            <a:ext cx="365760" cy="365760"/>
          </a:xfrm>
          <a:prstGeom prst="rect">
            <a:avLst/>
          </a:prstGeom>
        </xdr:spPr>
      </xdr:pic>
      <xdr:sp macro="" textlink="Pivots!P3">
        <xdr:nvSpPr>
          <xdr:cNvPr id="94" name="TextBox 93" hidden="1">
            <a:extLst>
              <a:ext uri="{FF2B5EF4-FFF2-40B4-BE49-F238E27FC236}">
                <a16:creationId xmlns:a16="http://schemas.microsoft.com/office/drawing/2014/main" id="{8066966D-C603-6BDE-174D-B7D85AB064BF}"/>
              </a:ext>
            </a:extLst>
          </xdr:cNvPr>
          <xdr:cNvSpPr txBox="1"/>
        </xdr:nvSpPr>
        <xdr:spPr>
          <a:xfrm>
            <a:off x="9074725" y="1434744"/>
            <a:ext cx="2449286" cy="3300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33EC4A8C-42BC-4B64-9D51-950BE3736B3F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l"/>
              <a:t>6  Invoices are Current -$193.00</a:t>
            </a:fld>
            <a:endParaRPr lang="en-US" sz="1100" b="1">
              <a:solidFill>
                <a:schemeClr val="tx1"/>
              </a:solidFill>
              <a:latin typeface="+mn-lt"/>
            </a:endParaRPr>
          </a:p>
        </xdr:txBody>
      </xdr:sp>
      <xdr:sp macro="" textlink="Pivots!P4">
        <xdr:nvSpPr>
          <xdr:cNvPr id="95" name="TextBox 94" hidden="1">
            <a:extLst>
              <a:ext uri="{FF2B5EF4-FFF2-40B4-BE49-F238E27FC236}">
                <a16:creationId xmlns:a16="http://schemas.microsoft.com/office/drawing/2014/main" id="{449DF3A4-7EE3-E059-3028-5B11E6F77FBB}"/>
              </a:ext>
            </a:extLst>
          </xdr:cNvPr>
          <xdr:cNvSpPr txBox="1"/>
        </xdr:nvSpPr>
        <xdr:spPr>
          <a:xfrm>
            <a:off x="9074725" y="1782518"/>
            <a:ext cx="2449286" cy="3300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2FE6F954-3551-4DFA-9695-9E70F204A7F9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l"/>
              <a:t>2  Invoices are OverDue by 1-30' Days $1,508.00</a:t>
            </a:fld>
            <a:endParaRPr lang="en-US" sz="1100" b="1">
              <a:solidFill>
                <a:schemeClr val="tx1"/>
              </a:solidFill>
              <a:latin typeface="+mn-lt"/>
            </a:endParaRPr>
          </a:p>
        </xdr:txBody>
      </xdr:sp>
      <xdr:sp macro="" textlink="Pivots!P5">
        <xdr:nvSpPr>
          <xdr:cNvPr id="96" name="TextBox 95" hidden="1">
            <a:extLst>
              <a:ext uri="{FF2B5EF4-FFF2-40B4-BE49-F238E27FC236}">
                <a16:creationId xmlns:a16="http://schemas.microsoft.com/office/drawing/2014/main" id="{04DD4D27-193B-6F1D-08DA-5529FAC325DC}"/>
              </a:ext>
            </a:extLst>
          </xdr:cNvPr>
          <xdr:cNvSpPr txBox="1"/>
        </xdr:nvSpPr>
        <xdr:spPr>
          <a:xfrm>
            <a:off x="9074725" y="2160054"/>
            <a:ext cx="2449286" cy="3300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8423289-68D7-473C-B33A-DD708AECBECF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l"/>
              <a:t>2  Invoices are OverDue by 31-60 Days $208.00</a:t>
            </a:fld>
            <a:endParaRPr lang="en-US" sz="1100" b="1">
              <a:solidFill>
                <a:schemeClr val="tx1"/>
              </a:solidFill>
              <a:latin typeface="+mn-lt"/>
            </a:endParaRPr>
          </a:p>
        </xdr:txBody>
      </xdr:sp>
      <xdr:sp macro="" textlink="Pivots!P6">
        <xdr:nvSpPr>
          <xdr:cNvPr id="97" name="TextBox 96" hidden="1">
            <a:extLst>
              <a:ext uri="{FF2B5EF4-FFF2-40B4-BE49-F238E27FC236}">
                <a16:creationId xmlns:a16="http://schemas.microsoft.com/office/drawing/2014/main" id="{DED51D10-AD95-27D0-B551-D643BF74880D}"/>
              </a:ext>
            </a:extLst>
          </xdr:cNvPr>
          <xdr:cNvSpPr txBox="1"/>
        </xdr:nvSpPr>
        <xdr:spPr>
          <a:xfrm>
            <a:off x="9074725" y="2537590"/>
            <a:ext cx="2449286" cy="3300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B0C018BF-92EA-4E9B-92F3-6A06DF80023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l"/>
              <a:t>3  Invoices are OverDue by 61-90 Days $1,795.00</a:t>
            </a:fld>
            <a:endParaRPr lang="en-US" sz="1100" b="1">
              <a:solidFill>
                <a:schemeClr val="tx1"/>
              </a:solidFill>
              <a:latin typeface="+mn-lt"/>
            </a:endParaRPr>
          </a:p>
        </xdr:txBody>
      </xdr:sp>
      <xdr:sp macro="" textlink="Pivots!P7">
        <xdr:nvSpPr>
          <xdr:cNvPr id="98" name="TextBox 97" hidden="1">
            <a:extLst>
              <a:ext uri="{FF2B5EF4-FFF2-40B4-BE49-F238E27FC236}">
                <a16:creationId xmlns:a16="http://schemas.microsoft.com/office/drawing/2014/main" id="{0DC4E5BB-C1C0-3C4E-149A-CE1DADACD562}"/>
              </a:ext>
            </a:extLst>
          </xdr:cNvPr>
          <xdr:cNvSpPr txBox="1"/>
        </xdr:nvSpPr>
        <xdr:spPr>
          <a:xfrm>
            <a:off x="9074725" y="2921469"/>
            <a:ext cx="2449286" cy="3300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82B8E138-E43F-40C1-AD5B-73B1A05697D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l"/>
              <a:t>13  Invoices are OverDue by &gt;90 Days $6,557.79</a:t>
            </a:fld>
            <a:endParaRPr lang="en-US" sz="1100" b="1">
              <a:solidFill>
                <a:schemeClr val="tx1"/>
              </a:solidFill>
              <a:latin typeface="+mn-lt"/>
            </a:endParaRPr>
          </a:p>
        </xdr:txBody>
      </xdr:sp>
      <xdr:pic>
        <xdr:nvPicPr>
          <xdr:cNvPr id="99" name="Graphic 98" descr="Crying face with solid fill with solid fill" hidden="1">
            <a:extLst>
              <a:ext uri="{FF2B5EF4-FFF2-40B4-BE49-F238E27FC236}">
                <a16:creationId xmlns:a16="http://schemas.microsoft.com/office/drawing/2014/main" id="{A5A43846-17DA-022F-AD92-50677B9240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8638704" y="1788547"/>
            <a:ext cx="365760" cy="365760"/>
          </a:xfrm>
          <a:prstGeom prst="rect">
            <a:avLst/>
          </a:prstGeom>
        </xdr:spPr>
      </xdr:pic>
      <xdr:pic>
        <xdr:nvPicPr>
          <xdr:cNvPr id="100" name="Graphic 99" descr="Crying face with solid fill with solid fill" hidden="1">
            <a:extLst>
              <a:ext uri="{FF2B5EF4-FFF2-40B4-BE49-F238E27FC236}">
                <a16:creationId xmlns:a16="http://schemas.microsoft.com/office/drawing/2014/main" id="{8101D700-21F9-C185-245C-0E0DAE251E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8638704" y="2160228"/>
            <a:ext cx="365760" cy="365760"/>
          </a:xfrm>
          <a:prstGeom prst="rect">
            <a:avLst/>
          </a:prstGeom>
        </xdr:spPr>
      </xdr:pic>
      <xdr:pic>
        <xdr:nvPicPr>
          <xdr:cNvPr id="101" name="Graphic 100" descr="Crying face with solid fill with solid fill" hidden="1">
            <a:extLst>
              <a:ext uri="{FF2B5EF4-FFF2-40B4-BE49-F238E27FC236}">
                <a16:creationId xmlns:a16="http://schemas.microsoft.com/office/drawing/2014/main" id="{2027DB99-F94C-A4A1-AAF4-6AF70BDD0A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8638704" y="2531909"/>
            <a:ext cx="365760" cy="365760"/>
          </a:xfrm>
          <a:prstGeom prst="rect">
            <a:avLst/>
          </a:prstGeom>
        </xdr:spPr>
      </xdr:pic>
      <xdr:graphicFrame macro="">
        <xdr:nvGraphicFramePr>
          <xdr:cNvPr id="102" name="Chart 101" hidden="1">
            <a:extLst>
              <a:ext uri="{FF2B5EF4-FFF2-40B4-BE49-F238E27FC236}">
                <a16:creationId xmlns:a16="http://schemas.microsoft.com/office/drawing/2014/main" id="{47A98483-2D17-4A40-A1E6-6117BB4A1EA2}"/>
              </a:ext>
            </a:extLst>
          </xdr:cNvPr>
          <xdr:cNvGraphicFramePr>
            <a:graphicFrameLocks/>
          </xdr:cNvGraphicFramePr>
        </xdr:nvGraphicFramePr>
        <xdr:xfrm>
          <a:off x="5019798" y="3498272"/>
          <a:ext cx="4277592" cy="16365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pic>
        <xdr:nvPicPr>
          <xdr:cNvPr id="12" name="Graphic 11" descr="Daily calendar with solid fill" hidden="1">
            <a:extLst>
              <a:ext uri="{FF2B5EF4-FFF2-40B4-BE49-F238E27FC236}">
                <a16:creationId xmlns:a16="http://schemas.microsoft.com/office/drawing/2014/main" id="{73E3348D-39BA-BE2F-3CB1-706F61D97F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>
            <a:extLst>
              <a:ext uri="{96DAC541-7B7A-43D3-8B79-37D633B846F1}">
                <asvg:svgBlip xmlns:asvg="http://schemas.microsoft.com/office/drawing/2016/SVG/main" r:embed="rId31"/>
              </a:ext>
            </a:extLst>
          </a:blip>
          <a:stretch>
            <a:fillRect/>
          </a:stretch>
        </xdr:blipFill>
        <xdr:spPr>
          <a:xfrm>
            <a:off x="5244934" y="3567544"/>
            <a:ext cx="456459" cy="450273"/>
          </a:xfrm>
          <a:prstGeom prst="rect">
            <a:avLst/>
          </a:prstGeom>
        </xdr:spPr>
      </xdr:pic>
      <xdr:sp macro="" textlink="">
        <xdr:nvSpPr>
          <xdr:cNvPr id="14" name="Rectangle: Rounded Corners 13" hidden="1">
            <a:extLst>
              <a:ext uri="{FF2B5EF4-FFF2-40B4-BE49-F238E27FC236}">
                <a16:creationId xmlns:a16="http://schemas.microsoft.com/office/drawing/2014/main" id="{F50BFE1E-CD17-4356-070D-B01640C8A8CC}"/>
              </a:ext>
            </a:extLst>
          </xdr:cNvPr>
          <xdr:cNvSpPr/>
        </xdr:nvSpPr>
        <xdr:spPr>
          <a:xfrm>
            <a:off x="9267948" y="3442853"/>
            <a:ext cx="2126178" cy="1735284"/>
          </a:xfrm>
          <a:prstGeom prst="roundRect">
            <a:avLst>
              <a:gd name="adj" fmla="val 8712"/>
            </a:avLst>
          </a:prstGeom>
          <a:solidFill>
            <a:schemeClr val="bg1">
              <a:alpha val="39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Pivots!I24">
        <xdr:nvSpPr>
          <xdr:cNvPr id="18" name="TextBox 17" hidden="1">
            <a:extLst>
              <a:ext uri="{FF2B5EF4-FFF2-40B4-BE49-F238E27FC236}">
                <a16:creationId xmlns:a16="http://schemas.microsoft.com/office/drawing/2014/main" id="{564306B6-DE34-CD71-159B-384E91808F56}"/>
              </a:ext>
            </a:extLst>
          </xdr:cNvPr>
          <xdr:cNvSpPr txBox="1"/>
        </xdr:nvSpPr>
        <xdr:spPr>
          <a:xfrm>
            <a:off x="9427276" y="4035028"/>
            <a:ext cx="1646464" cy="3300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9E225EF-6720-4D3A-B0BE-389D3D4EC5F3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TOTAL 2025 PAYMENTS</a:t>
            </a:fld>
            <a:endParaRPr lang="en-US" sz="1100" b="1">
              <a:solidFill>
                <a:schemeClr val="tx1"/>
              </a:solidFill>
              <a:latin typeface="+mn-lt"/>
            </a:endParaRPr>
          </a:p>
        </xdr:txBody>
      </xdr:sp>
      <xdr:sp macro="" textlink="Pivots!J24">
        <xdr:nvSpPr>
          <xdr:cNvPr id="19" name="TextBox 18" hidden="1">
            <a:extLst>
              <a:ext uri="{FF2B5EF4-FFF2-40B4-BE49-F238E27FC236}">
                <a16:creationId xmlns:a16="http://schemas.microsoft.com/office/drawing/2014/main" id="{314EAE8E-39B6-0E29-1A9B-7AAA078A09C8}"/>
              </a:ext>
            </a:extLst>
          </xdr:cNvPr>
          <xdr:cNvSpPr txBox="1"/>
        </xdr:nvSpPr>
        <xdr:spPr>
          <a:xfrm>
            <a:off x="9385710" y="4299997"/>
            <a:ext cx="1887189" cy="3300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2E54C37-F2EC-4F2D-9446-BECB0794242A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$0.00</a:t>
            </a:fld>
            <a:endParaRPr lang="en-US" sz="1400" b="1">
              <a:solidFill>
                <a:schemeClr val="tx1"/>
              </a:solidFill>
              <a:latin typeface="Abadi" panose="020B0604020104020204" pitchFamily="34" charset="0"/>
            </a:endParaRPr>
          </a:p>
        </xdr:txBody>
      </xdr:sp>
      <xdr:sp macro="" textlink="Pivots!I25">
        <xdr:nvSpPr>
          <xdr:cNvPr id="24" name="TextBox 23" hidden="1">
            <a:extLst>
              <a:ext uri="{FF2B5EF4-FFF2-40B4-BE49-F238E27FC236}">
                <a16:creationId xmlns:a16="http://schemas.microsoft.com/office/drawing/2014/main" id="{2D898FEB-A883-CE0C-7C9E-BD894A8C4795}"/>
              </a:ext>
            </a:extLst>
          </xdr:cNvPr>
          <xdr:cNvSpPr txBox="1"/>
        </xdr:nvSpPr>
        <xdr:spPr>
          <a:xfrm>
            <a:off x="9358004" y="4564964"/>
            <a:ext cx="1965118" cy="3300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2814B94A-8F1E-4DB1-8372-8DD765809B7D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l"/>
              <a:t>TOTAL SEPTEMBER PAYMENTS</a:t>
            </a:fld>
            <a:endParaRPr lang="en-US" sz="1100" b="1">
              <a:solidFill>
                <a:schemeClr val="tx1"/>
              </a:solidFill>
              <a:latin typeface="+mn-lt"/>
            </a:endParaRPr>
          </a:p>
        </xdr:txBody>
      </xdr:sp>
      <xdr:sp macro="" textlink="Pivots!J25">
        <xdr:nvSpPr>
          <xdr:cNvPr id="25" name="TextBox 24" hidden="1">
            <a:extLst>
              <a:ext uri="{FF2B5EF4-FFF2-40B4-BE49-F238E27FC236}">
                <a16:creationId xmlns:a16="http://schemas.microsoft.com/office/drawing/2014/main" id="{7DEE7795-F1B6-D363-0B8A-F3C01D4CF8FD}"/>
              </a:ext>
            </a:extLst>
          </xdr:cNvPr>
          <xdr:cNvSpPr txBox="1"/>
        </xdr:nvSpPr>
        <xdr:spPr>
          <a:xfrm>
            <a:off x="9318170" y="4821273"/>
            <a:ext cx="1868139" cy="3300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BD4F86B-9736-406A-8AB0-78C771781D7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$0.00</a:t>
            </a:fld>
            <a:endParaRPr lang="en-US" sz="1400" b="1">
              <a:solidFill>
                <a:schemeClr val="tx1"/>
              </a:solidFill>
              <a:latin typeface="Abadi" panose="020B0604020104020204" pitchFamily="34" charset="0"/>
            </a:endParaRPr>
          </a:p>
        </xdr:txBody>
      </xdr:sp>
      <xdr:pic>
        <xdr:nvPicPr>
          <xdr:cNvPr id="27" name="Graphic 26" descr="Money with solid fill" hidden="1">
            <a:extLst>
              <a:ext uri="{FF2B5EF4-FFF2-40B4-BE49-F238E27FC236}">
                <a16:creationId xmlns:a16="http://schemas.microsoft.com/office/drawing/2014/main" id="{C91BC9DD-4F8F-3A5C-DC6B-431F8AD3D9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32"/>
              </a:ext>
            </a:extLst>
          </a:blip>
          <a:stretch>
            <a:fillRect/>
          </a:stretch>
        </xdr:blipFill>
        <xdr:spPr>
          <a:xfrm>
            <a:off x="9349344" y="3515591"/>
            <a:ext cx="463385" cy="457200"/>
          </a:xfrm>
          <a:prstGeom prst="rect">
            <a:avLst/>
          </a:prstGeom>
        </xdr:spPr>
      </xdr:pic>
      <xdr:graphicFrame macro="">
        <xdr:nvGraphicFramePr>
          <xdr:cNvPr id="70" name="Chart 69" hidden="1">
            <a:extLst>
              <a:ext uri="{FF2B5EF4-FFF2-40B4-BE49-F238E27FC236}">
                <a16:creationId xmlns:a16="http://schemas.microsoft.com/office/drawing/2014/main" id="{F576C014-5058-46BB-A15D-83123B347EF7}"/>
              </a:ext>
            </a:extLst>
          </xdr:cNvPr>
          <xdr:cNvGraphicFramePr>
            <a:graphicFrameLocks/>
          </xdr:cNvGraphicFramePr>
        </xdr:nvGraphicFramePr>
        <xdr:xfrm>
          <a:off x="1965576" y="1278472"/>
          <a:ext cx="2859304" cy="397636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3"/>
          </a:graphicData>
        </a:graphic>
      </xdr:graphicFrame>
    </xdr:grpSp>
    <xdr:clientData/>
  </xdr:twoCellAnchor>
  <xdr:twoCellAnchor>
    <xdr:from>
      <xdr:col>0</xdr:col>
      <xdr:colOff>199159</xdr:colOff>
      <xdr:row>0</xdr:row>
      <xdr:rowOff>43294</xdr:rowOff>
    </xdr:from>
    <xdr:to>
      <xdr:col>20</xdr:col>
      <xdr:colOff>161925</xdr:colOff>
      <xdr:row>1</xdr:row>
      <xdr:rowOff>112567</xdr:rowOff>
    </xdr:to>
    <xdr:sp macro="" textlink="">
      <xdr:nvSpPr>
        <xdr:cNvPr id="28" name="Rectangle: Single Corner Rounded 27">
          <a:extLst>
            <a:ext uri="{FF2B5EF4-FFF2-40B4-BE49-F238E27FC236}">
              <a16:creationId xmlns:a16="http://schemas.microsoft.com/office/drawing/2014/main" id="{70F48305-8323-77C1-C677-D391F5C59525}"/>
            </a:ext>
          </a:extLst>
        </xdr:cNvPr>
        <xdr:cNvSpPr/>
      </xdr:nvSpPr>
      <xdr:spPr>
        <a:xfrm>
          <a:off x="199159" y="43294"/>
          <a:ext cx="12154766" cy="259773"/>
        </a:xfrm>
        <a:prstGeom prst="round1Rect">
          <a:avLst/>
        </a:prstGeom>
        <a:solidFill>
          <a:schemeClr val="lt1">
            <a:alpha val="44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268432</xdr:colOff>
      <xdr:row>0</xdr:row>
      <xdr:rowOff>13035</xdr:rowOff>
    </xdr:from>
    <xdr:to>
      <xdr:col>5</xdr:col>
      <xdr:colOff>264973</xdr:colOff>
      <xdr:row>1</xdr:row>
      <xdr:rowOff>103908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4E117D8-7CCF-0D88-7831-8C451948F93B}"/>
            </a:ext>
          </a:extLst>
        </xdr:cNvPr>
        <xdr:cNvSpPr txBox="1"/>
      </xdr:nvSpPr>
      <xdr:spPr>
        <a:xfrm>
          <a:off x="268432" y="13035"/>
          <a:ext cx="3027223" cy="2813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400" b="0" i="1">
              <a:solidFill>
                <a:schemeClr val="tx1"/>
              </a:solidFill>
              <a:latin typeface="Abadi" panose="020B0604020104020204" pitchFamily="34" charset="0"/>
            </a:rPr>
            <a:t>Accounts</a:t>
          </a:r>
          <a:r>
            <a:rPr lang="en-US" sz="1400" b="0" i="1" baseline="0">
              <a:solidFill>
                <a:schemeClr val="tx1"/>
              </a:solidFill>
              <a:latin typeface="Abadi" panose="020B0604020104020204" pitchFamily="34" charset="0"/>
            </a:rPr>
            <a:t> Receivable and Payable</a:t>
          </a:r>
          <a:endParaRPr lang="en-US" sz="1400" b="0" i="1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16</xdr:col>
      <xdr:colOff>281420</xdr:colOff>
      <xdr:row>0</xdr:row>
      <xdr:rowOff>0</xdr:rowOff>
    </xdr:from>
    <xdr:to>
      <xdr:col>20</xdr:col>
      <xdr:colOff>85724</xdr:colOff>
      <xdr:row>1</xdr:row>
      <xdr:rowOff>90873</xdr:rowOff>
    </xdr:to>
    <xdr:sp macro="" textlink="Pivots!J16">
      <xdr:nvSpPr>
        <xdr:cNvPr id="29" name="TextBox 28">
          <a:extLst>
            <a:ext uri="{FF2B5EF4-FFF2-40B4-BE49-F238E27FC236}">
              <a16:creationId xmlns:a16="http://schemas.microsoft.com/office/drawing/2014/main" id="{68BFB573-032B-806F-45C6-BC573318194C}"/>
            </a:ext>
          </a:extLst>
        </xdr:cNvPr>
        <xdr:cNvSpPr txBox="1"/>
      </xdr:nvSpPr>
      <xdr:spPr>
        <a:xfrm>
          <a:off x="10035020" y="0"/>
          <a:ext cx="2242704" cy="2813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AE72295E-3E59-4E33-84CB-F0626F9DA507}" type="TxLink">
            <a:rPr lang="en-US" sz="1400" b="0" i="1" u="none" strike="noStrike">
              <a:solidFill>
                <a:srgbClr val="000000"/>
              </a:solidFill>
              <a:latin typeface="Aptos Narrow"/>
            </a:rPr>
            <a:pPr algn="l"/>
            <a:t>Tuesday, September 9, 2025</a:t>
          </a:fld>
          <a:endParaRPr lang="en-US" sz="1800" b="0" i="1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2</xdr:col>
      <xdr:colOff>495300</xdr:colOff>
      <xdr:row>5</xdr:row>
      <xdr:rowOff>133349</xdr:rowOff>
    </xdr:from>
    <xdr:to>
      <xdr:col>20</xdr:col>
      <xdr:colOff>223545</xdr:colOff>
      <xdr:row>27</xdr:row>
      <xdr:rowOff>85724</xdr:rowOff>
    </xdr:to>
    <xdr:grpSp>
      <xdr:nvGrpSpPr>
        <xdr:cNvPr id="54" name="PayGrp" hidden="1">
          <a:extLst>
            <a:ext uri="{FF2B5EF4-FFF2-40B4-BE49-F238E27FC236}">
              <a16:creationId xmlns:a16="http://schemas.microsoft.com/office/drawing/2014/main" id="{224EC043-2675-67A4-B5D0-2DD732AD384E}"/>
            </a:ext>
          </a:extLst>
        </xdr:cNvPr>
        <xdr:cNvGrpSpPr/>
      </xdr:nvGrpSpPr>
      <xdr:grpSpPr>
        <a:xfrm>
          <a:off x="1719943" y="1105288"/>
          <a:ext cx="10750031" cy="4228905"/>
          <a:chOff x="1719943" y="1085849"/>
          <a:chExt cx="10593161" cy="4143375"/>
        </a:xfrm>
      </xdr:grpSpPr>
      <xdr:grpSp>
        <xdr:nvGrpSpPr>
          <xdr:cNvPr id="51" name="Group 50" hidden="1">
            <a:extLst>
              <a:ext uri="{FF2B5EF4-FFF2-40B4-BE49-F238E27FC236}">
                <a16:creationId xmlns:a16="http://schemas.microsoft.com/office/drawing/2014/main" id="{3CEB4A3A-BAD9-FE99-60AA-5831335C9B58}"/>
              </a:ext>
            </a:extLst>
          </xdr:cNvPr>
          <xdr:cNvGrpSpPr/>
        </xdr:nvGrpSpPr>
        <xdr:grpSpPr>
          <a:xfrm>
            <a:off x="1882375" y="1085850"/>
            <a:ext cx="2837263" cy="4038600"/>
            <a:chOff x="893136" y="5351281"/>
            <a:chExt cx="2826377" cy="4192769"/>
          </a:xfrm>
        </xdr:grpSpPr>
        <xdr:sp macro="" textlink="">
          <xdr:nvSpPr>
            <xdr:cNvPr id="44" name="Rectangle: Rounded Corners 43" hidden="1">
              <a:extLst>
                <a:ext uri="{FF2B5EF4-FFF2-40B4-BE49-F238E27FC236}">
                  <a16:creationId xmlns:a16="http://schemas.microsoft.com/office/drawing/2014/main" id="{D5D9CFBA-46F7-0344-38E1-B9BB1C59F9C8}"/>
                </a:ext>
              </a:extLst>
            </xdr:cNvPr>
            <xdr:cNvSpPr/>
          </xdr:nvSpPr>
          <xdr:spPr>
            <a:xfrm>
              <a:off x="893136" y="5351281"/>
              <a:ext cx="2826377" cy="4192769"/>
            </a:xfrm>
            <a:prstGeom prst="roundRect">
              <a:avLst>
                <a:gd name="adj" fmla="val 14540"/>
              </a:avLst>
            </a:prstGeom>
            <a:solidFill>
              <a:schemeClr val="bg1">
                <a:alpha val="98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46" name="Rectangle: Rounded Corners 45" hidden="1">
              <a:extLst>
                <a:ext uri="{FF2B5EF4-FFF2-40B4-BE49-F238E27FC236}">
                  <a16:creationId xmlns:a16="http://schemas.microsoft.com/office/drawing/2014/main" id="{1EDF2F51-19FB-5BBF-2552-E03A975295E9}"/>
                </a:ext>
              </a:extLst>
            </xdr:cNvPr>
            <xdr:cNvSpPr/>
          </xdr:nvSpPr>
          <xdr:spPr>
            <a:xfrm>
              <a:off x="893136" y="5351281"/>
              <a:ext cx="2826377" cy="4192769"/>
            </a:xfrm>
            <a:prstGeom prst="roundRect">
              <a:avLst>
                <a:gd name="adj" fmla="val 14540"/>
              </a:avLst>
            </a:prstGeom>
            <a:blipFill dpi="0" rotWithShape="1">
              <a:blip xmlns:r="http://schemas.openxmlformats.org/officeDocument/2006/relationships" r:embed="rId34">
                <a:alphaModFix amt="20000"/>
              </a:blip>
              <a:srcRect/>
              <a:stretch>
                <a:fillRect/>
              </a:stretch>
            </a:blip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49" name="Rectangle: Rounded Corners 48" hidden="1">
              <a:extLst>
                <a:ext uri="{FF2B5EF4-FFF2-40B4-BE49-F238E27FC236}">
                  <a16:creationId xmlns:a16="http://schemas.microsoft.com/office/drawing/2014/main" id="{D06CE48B-0AD2-CC2A-DE68-8960592A288B}"/>
                </a:ext>
              </a:extLst>
            </xdr:cNvPr>
            <xdr:cNvSpPr/>
          </xdr:nvSpPr>
          <xdr:spPr>
            <a:xfrm>
              <a:off x="893136" y="5351281"/>
              <a:ext cx="2826377" cy="4192769"/>
            </a:xfrm>
            <a:prstGeom prst="roundRect">
              <a:avLst>
                <a:gd name="adj" fmla="val 14540"/>
              </a:avLst>
            </a:prstGeom>
            <a:gradFill>
              <a:gsLst>
                <a:gs pos="0">
                  <a:srgbClr val="C7D5ED">
                    <a:alpha val="40000"/>
                  </a:srgbClr>
                </a:gs>
                <a:gs pos="9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84" name="Rectangle: Rounded Corners 83" hidden="1">
            <a:extLst>
              <a:ext uri="{FF2B5EF4-FFF2-40B4-BE49-F238E27FC236}">
                <a16:creationId xmlns:a16="http://schemas.microsoft.com/office/drawing/2014/main" id="{CBDBE79B-23C1-60CC-FDD8-F55D4DC013B6}"/>
              </a:ext>
            </a:extLst>
          </xdr:cNvPr>
          <xdr:cNvSpPr/>
        </xdr:nvSpPr>
        <xdr:spPr>
          <a:xfrm>
            <a:off x="5270046" y="3379606"/>
            <a:ext cx="7022517" cy="1821043"/>
          </a:xfrm>
          <a:prstGeom prst="roundRect">
            <a:avLst>
              <a:gd name="adj" fmla="val 14540"/>
            </a:avLst>
          </a:prstGeom>
          <a:solidFill>
            <a:schemeClr val="bg1">
              <a:alpha val="37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Rectangle: Rounded Corners 54" hidden="1">
            <a:extLst>
              <a:ext uri="{FF2B5EF4-FFF2-40B4-BE49-F238E27FC236}">
                <a16:creationId xmlns:a16="http://schemas.microsoft.com/office/drawing/2014/main" id="{B0F93FE3-9909-60C5-CE88-4A09DCA82730}"/>
              </a:ext>
            </a:extLst>
          </xdr:cNvPr>
          <xdr:cNvSpPr/>
        </xdr:nvSpPr>
        <xdr:spPr>
          <a:xfrm>
            <a:off x="5244018" y="1112656"/>
            <a:ext cx="3755842" cy="2192519"/>
          </a:xfrm>
          <a:prstGeom prst="roundRect">
            <a:avLst>
              <a:gd name="adj" fmla="val 14540"/>
            </a:avLst>
          </a:prstGeom>
          <a:solidFill>
            <a:schemeClr val="bg1">
              <a:alpha val="37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39" name="Chart 38" hidden="1">
            <a:extLst>
              <a:ext uri="{FF2B5EF4-FFF2-40B4-BE49-F238E27FC236}">
                <a16:creationId xmlns:a16="http://schemas.microsoft.com/office/drawing/2014/main" id="{2FEE2082-27D4-4673-AC54-D8FC03C5C3F6}"/>
              </a:ext>
            </a:extLst>
          </xdr:cNvPr>
          <xdr:cNvGraphicFramePr>
            <a:graphicFrameLocks/>
          </xdr:cNvGraphicFramePr>
        </xdr:nvGraphicFramePr>
        <xdr:xfrm>
          <a:off x="1719943" y="1085849"/>
          <a:ext cx="3002399" cy="4143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5"/>
          </a:graphicData>
        </a:graphic>
      </xdr:graphicFrame>
      <xdr:graphicFrame macro="">
        <xdr:nvGraphicFramePr>
          <xdr:cNvPr id="53" name="Chart 52" hidden="1">
            <a:extLst>
              <a:ext uri="{FF2B5EF4-FFF2-40B4-BE49-F238E27FC236}">
                <a16:creationId xmlns:a16="http://schemas.microsoft.com/office/drawing/2014/main" id="{6B9DFAC7-87DF-4589-BA79-53524074E740}"/>
              </a:ext>
            </a:extLst>
          </xdr:cNvPr>
          <xdr:cNvGraphicFramePr>
            <a:graphicFrameLocks/>
          </xdr:cNvGraphicFramePr>
        </xdr:nvGraphicFramePr>
        <xdr:xfrm>
          <a:off x="5316869" y="1152525"/>
          <a:ext cx="3631637" cy="204787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6"/>
          </a:graphicData>
        </a:graphic>
      </xdr:graphicFrame>
      <xdr:sp macro="" textlink="">
        <xdr:nvSpPr>
          <xdr:cNvPr id="58" name="Rectangle: Rounded Corners 57" hidden="1">
            <a:extLst>
              <a:ext uri="{FF2B5EF4-FFF2-40B4-BE49-F238E27FC236}">
                <a16:creationId xmlns:a16="http://schemas.microsoft.com/office/drawing/2014/main" id="{E392C4D8-163A-EB78-3638-6EA926A80356}"/>
              </a:ext>
            </a:extLst>
          </xdr:cNvPr>
          <xdr:cNvSpPr/>
        </xdr:nvSpPr>
        <xdr:spPr>
          <a:xfrm>
            <a:off x="9132426" y="1112656"/>
            <a:ext cx="3180678" cy="2192519"/>
          </a:xfrm>
          <a:prstGeom prst="roundRect">
            <a:avLst>
              <a:gd name="adj" fmla="val 14540"/>
            </a:avLst>
          </a:prstGeom>
          <a:solidFill>
            <a:schemeClr val="bg1">
              <a:alpha val="37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Pivots!K30">
        <xdr:nvSpPr>
          <xdr:cNvPr id="59" name="TextBox 58" hidden="1">
            <a:extLst>
              <a:ext uri="{FF2B5EF4-FFF2-40B4-BE49-F238E27FC236}">
                <a16:creationId xmlns:a16="http://schemas.microsoft.com/office/drawing/2014/main" id="{96CF20E3-6CBD-EBE7-B230-F5172A5EFBBF}"/>
              </a:ext>
            </a:extLst>
          </xdr:cNvPr>
          <xdr:cNvSpPr txBox="1"/>
        </xdr:nvSpPr>
        <xdr:spPr>
          <a:xfrm>
            <a:off x="9791161" y="1274490"/>
            <a:ext cx="2426780" cy="3323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7A083FB8-C3F8-4358-8769-BDDF0E4B1FB6}" type="TxLink">
              <a:rPr lang="en-US" sz="1100" b="1" i="0" u="none" strike="noStrike">
                <a:solidFill>
                  <a:srgbClr val="000000"/>
                </a:solidFill>
                <a:latin typeface="Aptos Narrow"/>
                <a:ea typeface="+mn-ea"/>
                <a:cs typeface="+mn-cs"/>
              </a:rPr>
              <a:pPr marL="0" indent="0" algn="ctr"/>
              <a:t>$0.00 Bills Due this week</a:t>
            </a:fld>
            <a:endParaRPr lang="en-US" sz="11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endParaRPr>
          </a:p>
        </xdr:txBody>
      </xdr:sp>
      <xdr:sp macro="" textlink="Pivots!K31">
        <xdr:nvSpPr>
          <xdr:cNvPr id="60" name="TextBox 59" hidden="1">
            <a:extLst>
              <a:ext uri="{FF2B5EF4-FFF2-40B4-BE49-F238E27FC236}">
                <a16:creationId xmlns:a16="http://schemas.microsoft.com/office/drawing/2014/main" id="{F8FC02F6-F8BC-E724-18FC-60B5CA64B9C8}"/>
              </a:ext>
            </a:extLst>
          </xdr:cNvPr>
          <xdr:cNvSpPr txBox="1"/>
        </xdr:nvSpPr>
        <xdr:spPr>
          <a:xfrm>
            <a:off x="9791161" y="1772965"/>
            <a:ext cx="2426780" cy="3323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70CD53BC-2ED8-47F4-BA23-562355E3502A}" type="TxLink">
              <a:rPr lang="en-US" sz="1100" b="1" i="0" u="none" strike="noStrike">
                <a:solidFill>
                  <a:srgbClr val="000000"/>
                </a:solidFill>
                <a:latin typeface="Aptos Narrow"/>
                <a:ea typeface="+mn-ea"/>
                <a:cs typeface="+mn-cs"/>
              </a:rPr>
              <a:pPr marL="0" indent="0" algn="ctr"/>
              <a:t>$0.00 Bills Due this month</a:t>
            </a:fld>
            <a:endParaRPr lang="en-US" sz="11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endParaRPr>
          </a:p>
        </xdr:txBody>
      </xdr:sp>
      <xdr:sp macro="" textlink="Pivots!K32">
        <xdr:nvSpPr>
          <xdr:cNvPr id="61" name="TextBox 60" hidden="1">
            <a:extLst>
              <a:ext uri="{FF2B5EF4-FFF2-40B4-BE49-F238E27FC236}">
                <a16:creationId xmlns:a16="http://schemas.microsoft.com/office/drawing/2014/main" id="{FB92E820-1C38-FB0D-F5D2-1919A1986851}"/>
              </a:ext>
            </a:extLst>
          </xdr:cNvPr>
          <xdr:cNvSpPr txBox="1"/>
        </xdr:nvSpPr>
        <xdr:spPr>
          <a:xfrm>
            <a:off x="9791161" y="2271440"/>
            <a:ext cx="2426780" cy="3323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4C37060-C701-4E2F-AFE1-3E3BFA4FA989}" type="TxLink">
              <a:rPr lang="en-US" sz="1100" b="1" i="0" u="none" strike="noStrike">
                <a:solidFill>
                  <a:srgbClr val="000000"/>
                </a:solidFill>
                <a:latin typeface="Aptos Narrow"/>
                <a:ea typeface="+mn-ea"/>
                <a:cs typeface="+mn-cs"/>
              </a:rPr>
              <a:pPr marL="0" indent="0" algn="ctr"/>
              <a:t>$0.00 Bills paid this week</a:t>
            </a:fld>
            <a:endParaRPr lang="en-US" sz="11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endParaRPr>
          </a:p>
        </xdr:txBody>
      </xdr:sp>
      <xdr:sp macro="" textlink="Pivots!K33">
        <xdr:nvSpPr>
          <xdr:cNvPr id="62" name="TextBox 61" hidden="1">
            <a:extLst>
              <a:ext uri="{FF2B5EF4-FFF2-40B4-BE49-F238E27FC236}">
                <a16:creationId xmlns:a16="http://schemas.microsoft.com/office/drawing/2014/main" id="{0D65211C-5334-F873-38AA-BA056A3B664E}"/>
              </a:ext>
            </a:extLst>
          </xdr:cNvPr>
          <xdr:cNvSpPr txBox="1"/>
        </xdr:nvSpPr>
        <xdr:spPr>
          <a:xfrm>
            <a:off x="9791161" y="2769915"/>
            <a:ext cx="2426780" cy="3323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20332E7E-13E2-47F6-982D-8C6B1F090B0C}" type="TxLink">
              <a:rPr lang="en-US" sz="1100" b="1" i="0" u="none" strike="noStrike">
                <a:solidFill>
                  <a:srgbClr val="000000"/>
                </a:solidFill>
                <a:latin typeface="Aptos Narrow"/>
                <a:ea typeface="+mn-ea"/>
                <a:cs typeface="+mn-cs"/>
              </a:rPr>
              <a:pPr marL="0" indent="0" algn="ctr"/>
              <a:t>$0.00 Bills paid this month</a:t>
            </a:fld>
            <a:endParaRPr lang="en-US" sz="11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endParaRPr>
          </a:p>
        </xdr:txBody>
      </xdr:sp>
      <xdr:pic>
        <xdr:nvPicPr>
          <xdr:cNvPr id="64" name="Graphic 63" descr="Daily calendar with solid fill" hidden="1">
            <a:extLst>
              <a:ext uri="{FF2B5EF4-FFF2-40B4-BE49-F238E27FC236}">
                <a16:creationId xmlns:a16="http://schemas.microsoft.com/office/drawing/2014/main" id="{E7E67C84-FC6C-AEA1-B0FC-17C0B05DA4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>
            <a:extLst>
              <a:ext uri="{96DAC541-7B7A-43D3-8B79-37D633B846F1}">
                <asvg:svgBlip xmlns:asvg="http://schemas.microsoft.com/office/drawing/2016/SVG/main" r:embed="rId37"/>
              </a:ext>
            </a:extLst>
          </a:blip>
          <a:stretch>
            <a:fillRect/>
          </a:stretch>
        </xdr:blipFill>
        <xdr:spPr>
          <a:xfrm>
            <a:off x="9475036" y="1676400"/>
            <a:ext cx="577885" cy="533400"/>
          </a:xfrm>
          <a:prstGeom prst="rect">
            <a:avLst/>
          </a:prstGeom>
        </xdr:spPr>
      </xdr:pic>
      <xdr:pic>
        <xdr:nvPicPr>
          <xdr:cNvPr id="66" name="Graphic 65" descr="Clock with solid fill" hidden="1">
            <a:extLst>
              <a:ext uri="{FF2B5EF4-FFF2-40B4-BE49-F238E27FC236}">
                <a16:creationId xmlns:a16="http://schemas.microsoft.com/office/drawing/2014/main" id="{906C9266-EA96-4A85-6FC7-1A4C21BBE4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>
            <a:extLst>
              <a:ext uri="{96DAC541-7B7A-43D3-8B79-37D633B846F1}">
                <asvg:svgBlip xmlns:asvg="http://schemas.microsoft.com/office/drawing/2016/SVG/main" r:embed="rId39"/>
              </a:ext>
            </a:extLst>
          </a:blip>
          <a:stretch>
            <a:fillRect/>
          </a:stretch>
        </xdr:blipFill>
        <xdr:spPr>
          <a:xfrm>
            <a:off x="9482718" y="1204873"/>
            <a:ext cx="508578" cy="469126"/>
          </a:xfrm>
          <a:prstGeom prst="rect">
            <a:avLst/>
          </a:prstGeom>
        </xdr:spPr>
      </xdr:pic>
      <xdr:pic>
        <xdr:nvPicPr>
          <xdr:cNvPr id="71" name="Graphic 70" descr="Money with solid fill" hidden="1">
            <a:extLst>
              <a:ext uri="{FF2B5EF4-FFF2-40B4-BE49-F238E27FC236}">
                <a16:creationId xmlns:a16="http://schemas.microsoft.com/office/drawing/2014/main" id="{D7FEDDCF-6DB7-D126-5161-07AAD8CBF6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9526391" y="2171700"/>
            <a:ext cx="505988" cy="466724"/>
          </a:xfrm>
          <a:prstGeom prst="rect">
            <a:avLst/>
          </a:prstGeom>
        </xdr:spPr>
      </xdr:pic>
      <xdr:grpSp>
        <xdr:nvGrpSpPr>
          <xdr:cNvPr id="74" name="Group 73" hidden="1">
            <a:extLst>
              <a:ext uri="{FF2B5EF4-FFF2-40B4-BE49-F238E27FC236}">
                <a16:creationId xmlns:a16="http://schemas.microsoft.com/office/drawing/2014/main" id="{B4A31C4E-B7C4-80D5-59D0-9F27F775F64D}"/>
              </a:ext>
            </a:extLst>
          </xdr:cNvPr>
          <xdr:cNvGrpSpPr/>
        </xdr:nvGrpSpPr>
        <xdr:grpSpPr>
          <a:xfrm>
            <a:off x="9505848" y="2686050"/>
            <a:ext cx="536801" cy="438149"/>
            <a:chOff x="8496301" y="3476625"/>
            <a:chExt cx="485774" cy="590549"/>
          </a:xfrm>
        </xdr:grpSpPr>
        <xdr:pic>
          <xdr:nvPicPr>
            <xdr:cNvPr id="72" name="Graphic 71" descr="Money with solid fill" hidden="1">
              <a:extLst>
                <a:ext uri="{FF2B5EF4-FFF2-40B4-BE49-F238E27FC236}">
                  <a16:creationId xmlns:a16="http://schemas.microsoft.com/office/drawing/2014/main" id="{9ABA95AC-AF6F-FEF4-F947-88C064AC521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 flipV="1">
              <a:off x="8515351" y="3600450"/>
              <a:ext cx="466724" cy="466724"/>
            </a:xfrm>
            <a:prstGeom prst="rect">
              <a:avLst/>
            </a:prstGeom>
          </xdr:spPr>
        </xdr:pic>
        <xdr:pic>
          <xdr:nvPicPr>
            <xdr:cNvPr id="73" name="Graphic 72" descr="Money with solid fill" hidden="1">
              <a:extLst>
                <a:ext uri="{FF2B5EF4-FFF2-40B4-BE49-F238E27FC236}">
                  <a16:creationId xmlns:a16="http://schemas.microsoft.com/office/drawing/2014/main" id="{33241572-8FD9-2E0E-145C-BA21DF3DB18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8496301" y="3476625"/>
              <a:ext cx="466724" cy="466724"/>
            </a:xfrm>
            <a:prstGeom prst="rect">
              <a:avLst/>
            </a:prstGeom>
          </xdr:spPr>
        </xdr:pic>
      </xdr:grpSp>
      <xdr:graphicFrame macro="">
        <xdr:nvGraphicFramePr>
          <xdr:cNvPr id="75" name="Chart 74" hidden="1">
            <a:extLst>
              <a:ext uri="{FF2B5EF4-FFF2-40B4-BE49-F238E27FC236}">
                <a16:creationId xmlns:a16="http://schemas.microsoft.com/office/drawing/2014/main" id="{092D3EA7-C4E4-4B22-9439-4ADE43F62473}"/>
              </a:ext>
            </a:extLst>
          </xdr:cNvPr>
          <xdr:cNvGraphicFramePr>
            <a:graphicFrameLocks/>
          </xdr:cNvGraphicFramePr>
        </xdr:nvGraphicFramePr>
        <xdr:xfrm>
          <a:off x="5255245" y="3400425"/>
          <a:ext cx="7006505" cy="1600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0"/>
          </a:graphicData>
        </a:graphic>
      </xdr:graphicFrame>
    </xdr:grpSp>
    <xdr:clientData/>
  </xdr:twoCellAnchor>
  <xdr:twoCellAnchor>
    <xdr:from>
      <xdr:col>0</xdr:col>
      <xdr:colOff>171452</xdr:colOff>
      <xdr:row>10</xdr:row>
      <xdr:rowOff>28579</xdr:rowOff>
    </xdr:from>
    <xdr:to>
      <xdr:col>2</xdr:col>
      <xdr:colOff>466725</xdr:colOff>
      <xdr:row>12</xdr:row>
      <xdr:rowOff>114303</xdr:rowOff>
    </xdr:to>
    <xdr:sp macro="[0]!payables" textlink="">
      <xdr:nvSpPr>
        <xdr:cNvPr id="5" name="PayBtn">
          <a:extLst>
            <a:ext uri="{FF2B5EF4-FFF2-40B4-BE49-F238E27FC236}">
              <a16:creationId xmlns:a16="http://schemas.microsoft.com/office/drawing/2014/main" id="{B9B2E59F-36B3-2A54-9766-7160D1F67BD3}"/>
            </a:ext>
          </a:extLst>
        </xdr:cNvPr>
        <xdr:cNvSpPr/>
      </xdr:nvSpPr>
      <xdr:spPr>
        <a:xfrm rot="16200000">
          <a:off x="695327" y="1409704"/>
          <a:ext cx="466724" cy="1514473"/>
        </a:xfrm>
        <a:prstGeom prst="round2SameRect">
          <a:avLst>
            <a:gd name="adj1" fmla="val 50000"/>
            <a:gd name="adj2" fmla="val 0"/>
          </a:avLst>
        </a:prstGeom>
        <a:solidFill>
          <a:srgbClr val="2F559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438150</xdr:colOff>
      <xdr:row>10</xdr:row>
      <xdr:rowOff>95250</xdr:rowOff>
    </xdr:from>
    <xdr:to>
      <xdr:col>2</xdr:col>
      <xdr:colOff>466725</xdr:colOff>
      <xdr:row>12</xdr:row>
      <xdr:rowOff>28575</xdr:rowOff>
    </xdr:to>
    <xdr:sp macro="[0]!payables" textlink="">
      <xdr:nvSpPr>
        <xdr:cNvPr id="9" name="PayText">
          <a:extLst>
            <a:ext uri="{FF2B5EF4-FFF2-40B4-BE49-F238E27FC236}">
              <a16:creationId xmlns:a16="http://schemas.microsoft.com/office/drawing/2014/main" id="{025198C9-5E74-E828-F6B5-3E331C1F7709}"/>
            </a:ext>
          </a:extLst>
        </xdr:cNvPr>
        <xdr:cNvSpPr txBox="1"/>
      </xdr:nvSpPr>
      <xdr:spPr>
        <a:xfrm>
          <a:off x="438150" y="1809750"/>
          <a:ext cx="1247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400" b="1">
              <a:solidFill>
                <a:srgbClr val="FFFFFF"/>
              </a:solidFill>
              <a:latin typeface="Abadi" panose="020B0604020104020204" pitchFamily="34" charset="0"/>
            </a:rPr>
            <a:t>PAYABLES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ah\Dropbox\Leah%20Shared\START%20SHEETS\Workbook%20Start%20Page%20Template%20(NO%20FFF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 Here"/>
      <sheetName val="Admin &amp; Settings"/>
      <sheetName val="Video Summarizer"/>
      <sheetName val="Video List"/>
      <sheetName val="Chat History"/>
    </sheetNames>
    <sheetDataSet>
      <sheetData sheetId="0" refreshError="1"/>
      <sheetData sheetId="1">
        <row r="10">
          <cell r="C10" t="str">
            <v>Categories</v>
          </cell>
        </row>
        <row r="11">
          <cell r="C11" t="str">
            <v>Excel</v>
          </cell>
        </row>
        <row r="12">
          <cell r="C12" t="str">
            <v>Marketing</v>
          </cell>
        </row>
        <row r="13">
          <cell r="C13" t="str">
            <v>Cooking</v>
          </cell>
        </row>
        <row r="14">
          <cell r="C14" t="str">
            <v>Python Learning</v>
          </cell>
        </row>
        <row r="15">
          <cell r="C15" t="str">
            <v>Investing</v>
          </cell>
        </row>
      </sheetData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ndy Austin" refreshedDate="45755.564023611114" createdVersion="8" refreshedVersion="8" minRefreshableVersion="3" recordCount="38" xr:uid="{1C10DE59-5E14-44B8-8A6E-BE8485D81BD1}">
  <cacheSource type="worksheet">
    <worksheetSource name="BillData"/>
  </cacheSource>
  <cacheFields count="14">
    <cacheField name="Bill ID" numFmtId="0">
      <sharedItems containsSemiMixedTypes="0" containsString="0" containsNumber="1" containsInteger="1" minValue="1" maxValue="38"/>
    </cacheField>
    <cacheField name="Vendor" numFmtId="0">
      <sharedItems count="11">
        <s v="Nancy Smith"/>
        <s v="Dolores Richman"/>
        <s v="Lisia Perkins"/>
        <s v="Jacob Smith"/>
        <s v="Betty White"/>
        <s v="Jackie Tubman"/>
        <s v="John James"/>
        <s v="Sandy Beach"/>
        <s v="Harry Hammers"/>
        <s v="James McKaren"/>
        <s v="Fred Fredders"/>
      </sharedItems>
    </cacheField>
    <cacheField name="Bill Date" numFmtId="14">
      <sharedItems containsSemiMixedTypes="0" containsNonDate="0" containsDate="1" containsString="0" minDate="2025-01-30T00:00:00" maxDate="2025-04-15T00:00:00"/>
    </cacheField>
    <cacheField name="Payment Type" numFmtId="0">
      <sharedItems containsBlank="1"/>
    </cacheField>
    <cacheField name="Status" numFmtId="164">
      <sharedItems count="4">
        <s v="Unpaid"/>
        <s v="Fully Paid"/>
        <s v="Closed"/>
        <s v="Partially Paid"/>
      </sharedItems>
    </cacheField>
    <cacheField name="Receipt Name" numFmtId="165">
      <sharedItems containsBlank="1"/>
    </cacheField>
    <cacheField name="Terms" numFmtId="166">
      <sharedItems/>
    </cacheField>
    <cacheField name="Category" numFmtId="0">
      <sharedItems count="10">
        <s v="Rent"/>
        <s v="Utilities"/>
        <s v="Salaries and Wages"/>
        <s v="Office Supplies"/>
        <s v="Marketing and Advertising"/>
        <s v="Insurance"/>
        <s v="Equipment"/>
        <s v="Travel Expenses"/>
        <s v="Professional Services"/>
        <s v="Maintenance and Repairs"/>
      </sharedItems>
    </cacheField>
    <cacheField name="Due Date" numFmtId="14">
      <sharedItems containsSemiMixedTypes="0" containsNonDate="0" containsDate="1" containsString="0" minDate="2025-03-01T00:00:00" maxDate="2025-05-15T00:00:00"/>
    </cacheField>
    <cacheField name="Bill Amount" numFmtId="0">
      <sharedItems containsSemiMixedTypes="0" containsString="0" containsNumber="1" minValue="200" maxValue="4300"/>
    </cacheField>
    <cacheField name="Paid Date" numFmtId="14">
      <sharedItems containsNonDate="0" containsDate="1" containsString="0" containsBlank="1" minDate="2025-03-05T00:00:00" maxDate="2025-05-11T00:00:00"/>
    </cacheField>
    <cacheField name="Paid Amount" numFmtId="0">
      <sharedItems containsString="0" containsBlank="1" containsNumber="1" minValue="100" maxValue="4010"/>
    </cacheField>
    <cacheField name="Amount Due" numFmtId="0">
      <sharedItems containsSemiMixedTypes="0" containsString="0" containsNumber="1" minValue="0" maxValue="4300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ndy Austin" refreshedDate="45755.564025115738" createdVersion="8" refreshedVersion="8" minRefreshableVersion="3" recordCount="26" xr:uid="{5C07C59B-CFE2-40DB-B651-2F053CBB7E11}">
  <cacheSource type="worksheet">
    <worksheetSource name="InvoiceData"/>
  </cacheSource>
  <cacheFields count="14">
    <cacheField name="Inv. ID" numFmtId="0">
      <sharedItems containsSemiMixedTypes="0" containsString="0" containsNumber="1" containsInteger="1" minValue="1" maxValue="26"/>
    </cacheField>
    <cacheField name="Date" numFmtId="14">
      <sharedItems containsSemiMixedTypes="0" containsNonDate="0" containsDate="1" containsString="0" minDate="2025-01-01T00:00:00" maxDate="2025-07-31T00:00:00"/>
    </cacheField>
    <cacheField name="Customer" numFmtId="0">
      <sharedItems count="6">
        <s v="Dolores Richman"/>
        <s v="Betty White"/>
        <s v="Jackie Tubman"/>
        <s v="Frank Costanza"/>
        <s v="Fred Fredders"/>
        <s v="Jim Johnson"/>
      </sharedItems>
    </cacheField>
    <cacheField name="Status" numFmtId="0">
      <sharedItems count="4">
        <s v="Partial Paid"/>
        <s v="Open"/>
        <s v="Unpaid"/>
        <s v="Paid"/>
      </sharedItems>
    </cacheField>
    <cacheField name="Terms" numFmtId="0">
      <sharedItems/>
    </cacheField>
    <cacheField name="Due Date" numFmtId="14">
      <sharedItems containsSemiMixedTypes="0" containsNonDate="0" containsDate="1" containsString="0" minDate="2025-01-04T00:00:00" maxDate="2025-08-30T00:00:00" count="27">
        <d v="2025-01-04T00:00:00"/>
        <d v="2025-02-05T00:00:00"/>
        <d v="2025-02-10T00:00:00"/>
        <d v="2025-02-15T00:00:00"/>
        <d v="2025-02-20T00:00:00"/>
        <d v="2025-02-25T00:00:00"/>
        <d v="2025-03-02T00:00:00"/>
        <d v="2025-03-07T00:00:00"/>
        <d v="2025-03-12T00:00:00"/>
        <d v="2025-03-22T00:00:00"/>
        <d v="2025-04-01T00:00:00"/>
        <d v="2025-04-11T00:00:00"/>
        <d v="2025-04-21T00:00:00"/>
        <d v="2025-05-01T00:00:00"/>
        <d v="2025-05-11T00:00:00"/>
        <d v="2025-05-21T00:00:00"/>
        <d v="2025-05-31T00:00:00"/>
        <d v="2025-06-10T00:00:00"/>
        <d v="2025-06-20T00:00:00"/>
        <d v="2025-06-30T00:00:00"/>
        <d v="2025-07-10T00:00:00"/>
        <d v="2025-07-20T00:00:00"/>
        <d v="2025-07-30T00:00:00"/>
        <d v="2025-08-09T00:00:00"/>
        <d v="2025-08-19T00:00:00"/>
        <d v="2025-08-29T00:00:00"/>
        <d v="2025-01-31T00:00:00" u="1"/>
      </sharedItems>
      <fieldGroup par="12"/>
    </cacheField>
    <cacheField name="Total" numFmtId="44">
      <sharedItems containsSemiMixedTypes="0" containsString="0" containsNumber="1" minValue="88" maxValue="919" count="26">
        <n v="500.5"/>
        <n v="440"/>
        <n v="335.5"/>
        <n v="137.5"/>
        <n v="264"/>
        <n v="88"/>
        <n v="837"/>
        <n v="691"/>
        <n v="447"/>
        <n v="257"/>
        <n v="676"/>
        <n v="548"/>
        <n v="546"/>
        <n v="578"/>
        <n v="111"/>
        <n v="910"/>
        <n v="448"/>
        <n v="919"/>
        <n v="622"/>
        <n v="781"/>
        <n v="692"/>
        <n v="646"/>
        <n v="462"/>
        <n v="358"/>
        <n v="649"/>
        <n v="859"/>
      </sharedItems>
    </cacheField>
    <cacheField name="Payment Date" numFmtId="0">
      <sharedItems containsNonDate="0" containsDate="1" containsString="0" containsBlank="1" minDate="2025-01-15T00:00:00" maxDate="2025-08-20T00:00:00" count="18">
        <d v="2025-01-15T00:00:00"/>
        <m/>
        <d v="2025-02-15T00:00:00"/>
        <d v="2025-02-20T00:00:00"/>
        <d v="2025-02-25T00:00:00"/>
        <d v="2025-03-22T00:00:00"/>
        <d v="2025-04-11T00:00:00"/>
        <d v="2025-04-21T00:00:00"/>
        <d v="2025-05-01T00:00:00"/>
        <d v="2025-05-11T00:00:00"/>
        <d v="2025-05-31T00:00:00"/>
        <d v="2025-06-20T00:00:00"/>
        <d v="2025-07-20T00:00:00"/>
        <d v="2025-07-30T00:00:00"/>
        <d v="2025-08-09T00:00:00"/>
        <d v="2025-08-19T00:00:00"/>
        <d v="2025-02-01T00:00:00" u="1"/>
        <d v="2025-01-31T00:00:00" u="1"/>
      </sharedItems>
      <fieldGroup par="13"/>
    </cacheField>
    <cacheField name="Total Paid" numFmtId="44">
      <sharedItems containsString="0" containsBlank="1" containsNumber="1" minValue="0" maxValue="500"/>
    </cacheField>
    <cacheField name="Balance" numFmtId="44">
      <sharedItems containsSemiMixedTypes="0" containsString="0" containsNumber="1" minValue="-193" maxValue="919" count="30">
        <n v="50.5"/>
        <n v="440"/>
        <n v="335.5"/>
        <n v="37.5"/>
        <n v="64"/>
        <n v="0"/>
        <n v="837"/>
        <n v="691"/>
        <n v="447"/>
        <n v="-193"/>
        <n v="676"/>
        <n v="526.47619047619037"/>
        <n v="529.38095238095241"/>
        <n v="566.28571428571433"/>
        <n v="910"/>
        <n v="919"/>
        <n v="322"/>
        <n v="781"/>
        <n v="692"/>
        <n v="146"/>
        <n v="62"/>
        <n v="649"/>
        <n v="859"/>
        <n v="500.5" u="1"/>
        <n v="419" u="1"/>
        <n v="300.5" u="1"/>
        <n v="17.5" u="1"/>
        <n v="2" u="1"/>
        <n v="148.5" u="1"/>
        <n v="49.5" u="1"/>
      </sharedItems>
    </cacheField>
    <cacheField name="Days Overdue" numFmtId="0">
      <sharedItems containsMixedTypes="1" containsNumber="1" containsInteger="1" minValue="7" maxValue="94"/>
    </cacheField>
    <cacheField name="Days (Due Date)" numFmtId="0" databaseField="0">
      <fieldGroup base="5">
        <rangePr groupBy="days" startDate="2025-01-04T00:00:00" endDate="2025-08-30T00:00:00"/>
        <groupItems count="368">
          <s v="&lt;1/4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30/2025"/>
        </groupItems>
      </fieldGroup>
    </cacheField>
    <cacheField name="Months (Due Date)" numFmtId="0" databaseField="0">
      <fieldGroup base="5">
        <rangePr groupBy="months" startDate="2025-01-04T00:00:00" endDate="2025-08-30T00:00:00"/>
        <groupItems count="14">
          <s v="&lt;1/4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8/30/2025"/>
        </groupItems>
      </fieldGroup>
    </cacheField>
    <cacheField name="Months (Payment Date)" numFmtId="0" databaseField="0">
      <fieldGroup base="7">
        <rangePr groupBy="months" startDate="2025-01-15T00:00:00" endDate="2025-08-20T00:00:00"/>
        <groupItems count="14">
          <s v="&lt;1/15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8/20/2025"/>
        </groupItems>
      </fieldGroup>
    </cacheField>
  </cacheFields>
  <extLst>
    <ext xmlns:x14="http://schemas.microsoft.com/office/spreadsheetml/2009/9/main" uri="{725AE2AE-9491-48be-B2B4-4EB974FC3084}">
      <x14:pivotCacheDefinition pivotCacheId="158492277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d v="2025-01-30T00:00:00"/>
    <s v="Credit Card"/>
    <x v="0"/>
    <s v="Rent_August_2021.jpg"/>
    <s v="Net 30"/>
    <x v="0"/>
    <d v="2025-03-01T00:00:00"/>
    <n v="2245"/>
    <d v="2025-03-15T00:00:00"/>
    <n v="100"/>
    <n v="2145"/>
    <s v="Bill Note"/>
  </r>
  <r>
    <n v="2"/>
    <x v="1"/>
    <d v="2025-02-01T00:00:00"/>
    <s v="Credit Card"/>
    <x v="0"/>
    <s v="SampleBill2.jpg"/>
    <s v="Due On Receipt"/>
    <x v="1"/>
    <d v="2025-03-03T00:00:00"/>
    <n v="254"/>
    <m/>
    <n v="100"/>
    <n v="154"/>
    <s v="Test Notes"/>
  </r>
  <r>
    <n v="3"/>
    <x v="2"/>
    <d v="2025-02-03T00:00:00"/>
    <s v="Online"/>
    <x v="1"/>
    <s v="SampleBill5.jpg"/>
    <s v="Net 30"/>
    <x v="2"/>
    <d v="2025-03-05T00:00:00"/>
    <n v="450"/>
    <d v="2025-03-05T00:00:00"/>
    <n v="450"/>
    <n v="0"/>
    <m/>
  </r>
  <r>
    <n v="4"/>
    <x v="1"/>
    <d v="2025-02-05T00:00:00"/>
    <m/>
    <x v="0"/>
    <m/>
    <s v="Net 30"/>
    <x v="3"/>
    <d v="2025-03-07T00:00:00"/>
    <n v="451"/>
    <d v="2025-03-07T00:00:00"/>
    <m/>
    <n v="451"/>
    <s v="Test Notes"/>
  </r>
  <r>
    <n v="5"/>
    <x v="3"/>
    <d v="2025-02-07T00:00:00"/>
    <m/>
    <x v="2"/>
    <m/>
    <s v="Net 30"/>
    <x v="4"/>
    <d v="2025-03-09T00:00:00"/>
    <n v="400"/>
    <m/>
    <m/>
    <n v="400"/>
    <m/>
  </r>
  <r>
    <n v="6"/>
    <x v="0"/>
    <d v="2025-02-09T00:00:00"/>
    <m/>
    <x v="0"/>
    <m/>
    <s v="Net 15"/>
    <x v="5"/>
    <d v="2025-03-11T00:00:00"/>
    <n v="200"/>
    <d v="2025-03-11T00:00:00"/>
    <m/>
    <n v="200"/>
    <m/>
  </r>
  <r>
    <n v="7"/>
    <x v="4"/>
    <d v="2025-02-11T00:00:00"/>
    <m/>
    <x v="0"/>
    <m/>
    <s v="Net 30"/>
    <x v="6"/>
    <d v="2025-03-13T00:00:00"/>
    <n v="245"/>
    <m/>
    <m/>
    <n v="245"/>
    <m/>
  </r>
  <r>
    <n v="8"/>
    <x v="1"/>
    <d v="2025-02-13T00:00:00"/>
    <s v="Credit Card"/>
    <x v="1"/>
    <m/>
    <s v="Net 30"/>
    <x v="7"/>
    <d v="2025-03-15T00:00:00"/>
    <n v="254"/>
    <d v="2025-03-15T00:00:00"/>
    <n v="254"/>
    <n v="0"/>
    <m/>
  </r>
  <r>
    <n v="9"/>
    <x v="5"/>
    <d v="2025-02-15T00:00:00"/>
    <m/>
    <x v="1"/>
    <m/>
    <s v="Net 30"/>
    <x v="8"/>
    <d v="2025-03-17T00:00:00"/>
    <n v="1450"/>
    <d v="2025-03-17T00:00:00"/>
    <m/>
    <n v="1450"/>
    <m/>
  </r>
  <r>
    <n v="10"/>
    <x v="6"/>
    <d v="2025-02-17T00:00:00"/>
    <m/>
    <x v="2"/>
    <m/>
    <s v="Net 30"/>
    <x v="9"/>
    <d v="2025-03-19T00:00:00"/>
    <n v="2151"/>
    <m/>
    <m/>
    <n v="2151"/>
    <m/>
  </r>
  <r>
    <n v="11"/>
    <x v="2"/>
    <d v="2025-02-19T00:00:00"/>
    <m/>
    <x v="0"/>
    <m/>
    <s v="Net 30"/>
    <x v="0"/>
    <d v="2025-03-21T00:00:00"/>
    <n v="4300"/>
    <m/>
    <m/>
    <n v="4300"/>
    <m/>
  </r>
  <r>
    <n v="12"/>
    <x v="0"/>
    <d v="2025-02-21T00:00:00"/>
    <m/>
    <x v="3"/>
    <m/>
    <s v="Net 15"/>
    <x v="1"/>
    <d v="2025-03-23T00:00:00"/>
    <n v="1200"/>
    <d v="2025-03-23T00:00:00"/>
    <n v="200"/>
    <n v="1000"/>
    <m/>
  </r>
  <r>
    <n v="13"/>
    <x v="7"/>
    <d v="2025-02-23T00:00:00"/>
    <m/>
    <x v="1"/>
    <m/>
    <s v="Net 30"/>
    <x v="2"/>
    <d v="2025-03-25T00:00:00"/>
    <n v="245"/>
    <d v="2025-03-25T00:00:00"/>
    <m/>
    <n v="245"/>
    <m/>
  </r>
  <r>
    <n v="14"/>
    <x v="8"/>
    <d v="2025-02-25T00:00:00"/>
    <m/>
    <x v="2"/>
    <m/>
    <s v="Due On Receipt"/>
    <x v="3"/>
    <d v="2025-03-27T00:00:00"/>
    <n v="2524"/>
    <d v="2025-03-27T00:00:00"/>
    <n v="2524"/>
    <n v="0"/>
    <m/>
  </r>
  <r>
    <n v="15"/>
    <x v="3"/>
    <d v="2025-02-27T00:00:00"/>
    <m/>
    <x v="0"/>
    <m/>
    <s v="Net 30"/>
    <x v="4"/>
    <d v="2025-03-29T00:00:00"/>
    <n v="450"/>
    <m/>
    <m/>
    <n v="450"/>
    <m/>
  </r>
  <r>
    <n v="16"/>
    <x v="9"/>
    <d v="2025-03-01T00:00:00"/>
    <m/>
    <x v="3"/>
    <m/>
    <s v="Net 30"/>
    <x v="5"/>
    <d v="2025-03-31T00:00:00"/>
    <n v="451"/>
    <m/>
    <n v="200"/>
    <n v="251"/>
    <m/>
  </r>
  <r>
    <n v="17"/>
    <x v="10"/>
    <d v="2025-03-03T00:00:00"/>
    <m/>
    <x v="1"/>
    <m/>
    <s v="Net 30"/>
    <x v="6"/>
    <d v="2025-04-02T00:00:00"/>
    <n v="4010"/>
    <m/>
    <n v="4010"/>
    <n v="0"/>
    <m/>
  </r>
  <r>
    <n v="18"/>
    <x v="0"/>
    <d v="2025-03-05T00:00:00"/>
    <m/>
    <x v="0"/>
    <s v="SampleBill5.jpg"/>
    <s v="Net 60"/>
    <x v="7"/>
    <d v="2025-04-04T00:00:00"/>
    <n v="550"/>
    <m/>
    <m/>
    <n v="550"/>
    <s v="Test Notes"/>
  </r>
  <r>
    <n v="19"/>
    <x v="2"/>
    <d v="2025-03-07T00:00:00"/>
    <m/>
    <x v="0"/>
    <m/>
    <s v="Net 15"/>
    <x v="8"/>
    <d v="2025-04-06T00:00:00"/>
    <n v="550"/>
    <m/>
    <m/>
    <n v="550"/>
    <m/>
  </r>
  <r>
    <n v="20"/>
    <x v="8"/>
    <d v="2025-03-09T00:00:00"/>
    <s v="Credit Card"/>
    <x v="0"/>
    <s v="Rent_August_2021.jpg"/>
    <s v="Net 30"/>
    <x v="9"/>
    <d v="2025-04-08T00:00:00"/>
    <n v="500"/>
    <m/>
    <m/>
    <n v="500"/>
    <s v="Test"/>
  </r>
  <r>
    <n v="21"/>
    <x v="6"/>
    <d v="2025-03-11T00:00:00"/>
    <m/>
    <x v="2"/>
    <m/>
    <s v="Net 30"/>
    <x v="7"/>
    <d v="2025-04-10T00:00:00"/>
    <n v="1584.07142857143"/>
    <m/>
    <m/>
    <n v="1584.07142857143"/>
    <m/>
  </r>
  <r>
    <n v="22"/>
    <x v="2"/>
    <d v="2025-03-13T00:00:00"/>
    <m/>
    <x v="0"/>
    <m/>
    <s v="Net 30"/>
    <x v="8"/>
    <d v="2025-04-12T00:00:00"/>
    <n v="1510.2261904761899"/>
    <m/>
    <m/>
    <n v="1510.2261904761899"/>
    <m/>
  </r>
  <r>
    <n v="23"/>
    <x v="0"/>
    <d v="2025-03-15T00:00:00"/>
    <m/>
    <x v="3"/>
    <m/>
    <s v="Net 15"/>
    <x v="9"/>
    <d v="2025-04-14T00:00:00"/>
    <n v="1436.38095238095"/>
    <d v="2025-04-14T00:00:00"/>
    <n v="1436.38095238095"/>
    <n v="0"/>
    <m/>
  </r>
  <r>
    <n v="24"/>
    <x v="7"/>
    <d v="2025-03-17T00:00:00"/>
    <m/>
    <x v="1"/>
    <m/>
    <s v="Net 30"/>
    <x v="0"/>
    <d v="2025-04-16T00:00:00"/>
    <n v="1362.5357142857099"/>
    <d v="2025-04-16T00:00:00"/>
    <n v="1362.5357142857099"/>
    <n v="0"/>
    <m/>
  </r>
  <r>
    <n v="25"/>
    <x v="8"/>
    <d v="2025-03-19T00:00:00"/>
    <m/>
    <x v="2"/>
    <m/>
    <s v="Due On Receipt"/>
    <x v="1"/>
    <d v="2025-04-18T00:00:00"/>
    <n v="1288.69047619048"/>
    <d v="2025-04-18T00:00:00"/>
    <n v="1288.69047619048"/>
    <n v="0"/>
    <m/>
  </r>
  <r>
    <n v="26"/>
    <x v="3"/>
    <d v="2025-03-21T00:00:00"/>
    <m/>
    <x v="0"/>
    <m/>
    <s v="Net 30"/>
    <x v="2"/>
    <d v="2025-04-20T00:00:00"/>
    <n v="1214.8452380952399"/>
    <m/>
    <n v="1214.8452380952399"/>
    <n v="0"/>
    <m/>
  </r>
  <r>
    <n v="27"/>
    <x v="9"/>
    <d v="2025-03-23T00:00:00"/>
    <m/>
    <x v="3"/>
    <m/>
    <s v="Net 30"/>
    <x v="3"/>
    <d v="2025-04-22T00:00:00"/>
    <n v="1141"/>
    <m/>
    <n v="1141"/>
    <n v="0"/>
    <m/>
  </r>
  <r>
    <n v="28"/>
    <x v="10"/>
    <d v="2025-03-25T00:00:00"/>
    <m/>
    <x v="1"/>
    <m/>
    <s v="Net 30"/>
    <x v="4"/>
    <d v="2025-04-24T00:00:00"/>
    <n v="1067.1547619047601"/>
    <m/>
    <n v="1067.1547619047601"/>
    <n v="0"/>
    <m/>
  </r>
  <r>
    <n v="29"/>
    <x v="0"/>
    <d v="2025-03-27T00:00:00"/>
    <m/>
    <x v="0"/>
    <s v="SampleBill5.jpg"/>
    <s v="Net 60"/>
    <x v="5"/>
    <d v="2025-04-26T00:00:00"/>
    <n v="483.33333333333297"/>
    <m/>
    <m/>
    <n v="483.33333333333297"/>
    <s v="Test Notes"/>
  </r>
  <r>
    <n v="30"/>
    <x v="2"/>
    <d v="2025-03-29T00:00:00"/>
    <m/>
    <x v="0"/>
    <m/>
    <s v="Net 15"/>
    <x v="7"/>
    <d v="2025-04-28T00:00:00"/>
    <n v="458.33333333333297"/>
    <m/>
    <m/>
    <n v="458.33333333333297"/>
    <m/>
  </r>
  <r>
    <n v="31"/>
    <x v="8"/>
    <d v="2025-03-31T00:00:00"/>
    <s v="Credit Card"/>
    <x v="0"/>
    <s v="Rent_August_2021.jpg"/>
    <s v="Net 30"/>
    <x v="8"/>
    <d v="2025-04-30T00:00:00"/>
    <n v="433.33333333333297"/>
    <m/>
    <m/>
    <n v="433.33333333333297"/>
    <s v="Test"/>
  </r>
  <r>
    <n v="32"/>
    <x v="6"/>
    <d v="2025-04-02T00:00:00"/>
    <m/>
    <x v="2"/>
    <m/>
    <s v="Net 30"/>
    <x v="9"/>
    <d v="2025-05-02T00:00:00"/>
    <n v="993.30952380952294"/>
    <m/>
    <m/>
    <n v="993.30952380952294"/>
    <m/>
  </r>
  <r>
    <n v="33"/>
    <x v="2"/>
    <d v="2025-04-04T00:00:00"/>
    <m/>
    <x v="0"/>
    <m/>
    <s v="Net 30"/>
    <x v="0"/>
    <d v="2025-05-04T00:00:00"/>
    <n v="919.46428571428396"/>
    <m/>
    <m/>
    <n v="919.46428571428396"/>
    <m/>
  </r>
  <r>
    <n v="34"/>
    <x v="0"/>
    <d v="2025-04-06T00:00:00"/>
    <m/>
    <x v="3"/>
    <m/>
    <s v="Net 15"/>
    <x v="1"/>
    <d v="2025-05-06T00:00:00"/>
    <n v="845.61904761904304"/>
    <d v="2025-05-06T00:00:00"/>
    <n v="845.61904761904304"/>
    <n v="0"/>
    <m/>
  </r>
  <r>
    <n v="35"/>
    <x v="7"/>
    <d v="2025-04-08T00:00:00"/>
    <m/>
    <x v="1"/>
    <m/>
    <s v="Net 30"/>
    <x v="2"/>
    <d v="2025-05-08T00:00:00"/>
    <n v="771.77380952381304"/>
    <d v="2025-05-08T00:00:00"/>
    <n v="771.77380952381304"/>
    <n v="0"/>
    <m/>
  </r>
  <r>
    <n v="36"/>
    <x v="8"/>
    <d v="2025-04-10T00:00:00"/>
    <m/>
    <x v="2"/>
    <m/>
    <s v="Due On Receipt"/>
    <x v="3"/>
    <d v="2025-05-10T00:00:00"/>
    <n v="697.92857142857304"/>
    <d v="2025-05-10T00:00:00"/>
    <n v="697.92857142857304"/>
    <n v="0"/>
    <m/>
  </r>
  <r>
    <n v="37"/>
    <x v="3"/>
    <d v="2025-04-12T00:00:00"/>
    <m/>
    <x v="0"/>
    <m/>
    <s v="Net 30"/>
    <x v="4"/>
    <d v="2025-05-12T00:00:00"/>
    <n v="624.08333333333303"/>
    <m/>
    <n v="624.08333333333303"/>
    <n v="0"/>
    <m/>
  </r>
  <r>
    <n v="38"/>
    <x v="9"/>
    <d v="2025-04-14T00:00:00"/>
    <m/>
    <x v="3"/>
    <m/>
    <s v="Net 30"/>
    <x v="5"/>
    <d v="2025-05-14T00:00:00"/>
    <n v="550.23809523809405"/>
    <m/>
    <n v="550.23809523809405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n v="1"/>
    <d v="2025-01-01T00:00:00"/>
    <x v="0"/>
    <x v="0"/>
    <s v="Net 15"/>
    <x v="0"/>
    <x v="0"/>
    <x v="0"/>
    <n v="450"/>
    <x v="0"/>
    <n v="94"/>
  </r>
  <r>
    <n v="2"/>
    <d v="2025-01-06T00:00:00"/>
    <x v="1"/>
    <x v="1"/>
    <s v="Net 15"/>
    <x v="1"/>
    <x v="1"/>
    <x v="1"/>
    <n v="0"/>
    <x v="1"/>
    <n v="62"/>
  </r>
  <r>
    <n v="3"/>
    <d v="2025-01-11T00:00:00"/>
    <x v="2"/>
    <x v="2"/>
    <s v="Net 15"/>
    <x v="2"/>
    <x v="2"/>
    <x v="1"/>
    <n v="0"/>
    <x v="2"/>
    <n v="57"/>
  </r>
  <r>
    <n v="4"/>
    <d v="2025-01-16T00:00:00"/>
    <x v="3"/>
    <x v="0"/>
    <s v="Net 15"/>
    <x v="3"/>
    <x v="3"/>
    <x v="2"/>
    <n v="100"/>
    <x v="3"/>
    <n v="52"/>
  </r>
  <r>
    <n v="5"/>
    <d v="2025-01-21T00:00:00"/>
    <x v="0"/>
    <x v="0"/>
    <s v="Net 30"/>
    <x v="4"/>
    <x v="4"/>
    <x v="3"/>
    <n v="200"/>
    <x v="4"/>
    <n v="47"/>
  </r>
  <r>
    <n v="6"/>
    <d v="2025-01-26T00:00:00"/>
    <x v="4"/>
    <x v="3"/>
    <s v="Net 30"/>
    <x v="5"/>
    <x v="5"/>
    <x v="4"/>
    <n v="88"/>
    <x v="5"/>
    <s v=""/>
  </r>
  <r>
    <n v="7"/>
    <d v="2025-01-31T00:00:00"/>
    <x v="3"/>
    <x v="1"/>
    <s v="Net 30"/>
    <x v="6"/>
    <x v="6"/>
    <x v="1"/>
    <n v="0"/>
    <x v="6"/>
    <n v="37"/>
  </r>
  <r>
    <n v="8"/>
    <d v="2025-02-05T00:00:00"/>
    <x v="1"/>
    <x v="3"/>
    <s v="Net 30"/>
    <x v="7"/>
    <x v="7"/>
    <x v="1"/>
    <n v="0"/>
    <x v="7"/>
    <n v="32"/>
  </r>
  <r>
    <n v="9"/>
    <d v="2025-02-10T00:00:00"/>
    <x v="2"/>
    <x v="1"/>
    <s v="Net 30"/>
    <x v="8"/>
    <x v="8"/>
    <x v="1"/>
    <n v="0"/>
    <x v="8"/>
    <n v="27"/>
  </r>
  <r>
    <n v="10"/>
    <d v="2025-02-20T00:00:00"/>
    <x v="0"/>
    <x v="0"/>
    <s v="Net 15"/>
    <x v="9"/>
    <x v="9"/>
    <x v="5"/>
    <n v="450"/>
    <x v="9"/>
    <s v=""/>
  </r>
  <r>
    <n v="11"/>
    <d v="2025-03-02T00:00:00"/>
    <x v="1"/>
    <x v="1"/>
    <s v="Net 15"/>
    <x v="10"/>
    <x v="10"/>
    <x v="1"/>
    <n v="0"/>
    <x v="10"/>
    <n v="7"/>
  </r>
  <r>
    <n v="12"/>
    <d v="2025-03-12T00:00:00"/>
    <x v="2"/>
    <x v="2"/>
    <s v="Net 15"/>
    <x v="11"/>
    <x v="11"/>
    <x v="6"/>
    <n v="21.5238095238096"/>
    <x v="11"/>
    <s v=""/>
  </r>
  <r>
    <n v="13"/>
    <d v="2025-03-22T00:00:00"/>
    <x v="3"/>
    <x v="0"/>
    <s v="Net 15"/>
    <x v="12"/>
    <x v="12"/>
    <x v="7"/>
    <n v="16.619047619047599"/>
    <x v="12"/>
    <s v=""/>
  </r>
  <r>
    <n v="14"/>
    <d v="2025-04-01T00:00:00"/>
    <x v="0"/>
    <x v="0"/>
    <s v="Net 30"/>
    <x v="13"/>
    <x v="13"/>
    <x v="8"/>
    <n v="11.714285714285699"/>
    <x v="13"/>
    <s v=""/>
  </r>
  <r>
    <n v="15"/>
    <d v="2025-04-11T00:00:00"/>
    <x v="4"/>
    <x v="3"/>
    <s v="Net 30"/>
    <x v="14"/>
    <x v="14"/>
    <x v="9"/>
    <n v="111"/>
    <x v="5"/>
    <s v=""/>
  </r>
  <r>
    <n v="16"/>
    <d v="2025-04-21T00:00:00"/>
    <x v="3"/>
    <x v="1"/>
    <s v="Net 30"/>
    <x v="15"/>
    <x v="15"/>
    <x v="1"/>
    <n v="0"/>
    <x v="14"/>
    <s v=""/>
  </r>
  <r>
    <n v="17"/>
    <d v="2025-05-01T00:00:00"/>
    <x v="1"/>
    <x v="3"/>
    <s v="Net 30"/>
    <x v="16"/>
    <x v="16"/>
    <x v="10"/>
    <n v="448"/>
    <x v="5"/>
    <s v=""/>
  </r>
  <r>
    <n v="18"/>
    <d v="2025-05-11T00:00:00"/>
    <x v="2"/>
    <x v="1"/>
    <s v="Net 30"/>
    <x v="17"/>
    <x v="17"/>
    <x v="1"/>
    <m/>
    <x v="15"/>
    <s v=""/>
  </r>
  <r>
    <n v="19"/>
    <d v="2025-05-21T00:00:00"/>
    <x v="0"/>
    <x v="0"/>
    <s v="Net 15"/>
    <x v="18"/>
    <x v="18"/>
    <x v="11"/>
    <n v="300"/>
    <x v="16"/>
    <s v=""/>
  </r>
  <r>
    <n v="20"/>
    <d v="2025-05-31T00:00:00"/>
    <x v="1"/>
    <x v="1"/>
    <s v="Net 15"/>
    <x v="19"/>
    <x v="19"/>
    <x v="1"/>
    <m/>
    <x v="17"/>
    <s v=""/>
  </r>
  <r>
    <n v="21"/>
    <d v="2025-06-10T00:00:00"/>
    <x v="2"/>
    <x v="2"/>
    <s v="Net 15"/>
    <x v="20"/>
    <x v="20"/>
    <x v="1"/>
    <m/>
    <x v="18"/>
    <s v=""/>
  </r>
  <r>
    <n v="22"/>
    <d v="2025-06-20T00:00:00"/>
    <x v="3"/>
    <x v="0"/>
    <s v="Net 15"/>
    <x v="21"/>
    <x v="21"/>
    <x v="12"/>
    <n v="500"/>
    <x v="19"/>
    <s v=""/>
  </r>
  <r>
    <n v="23"/>
    <d v="2025-06-30T00:00:00"/>
    <x v="0"/>
    <x v="0"/>
    <s v="Net 30"/>
    <x v="22"/>
    <x v="22"/>
    <x v="13"/>
    <n v="400"/>
    <x v="20"/>
    <s v=""/>
  </r>
  <r>
    <n v="24"/>
    <d v="2025-07-10T00:00:00"/>
    <x v="4"/>
    <x v="3"/>
    <s v="Net 30"/>
    <x v="23"/>
    <x v="23"/>
    <x v="14"/>
    <n v="358"/>
    <x v="5"/>
    <s v=""/>
  </r>
  <r>
    <n v="25"/>
    <d v="2025-07-20T00:00:00"/>
    <x v="3"/>
    <x v="1"/>
    <s v="Net 30"/>
    <x v="24"/>
    <x v="24"/>
    <x v="15"/>
    <m/>
    <x v="21"/>
    <s v=""/>
  </r>
  <r>
    <n v="26"/>
    <d v="2025-07-30T00:00:00"/>
    <x v="5"/>
    <x v="1"/>
    <s v="Net 30"/>
    <x v="25"/>
    <x v="25"/>
    <x v="1"/>
    <n v="0"/>
    <x v="22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A71507-423B-499E-8FCF-C06E63853630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5">
  <location ref="B3:C8" firstHeaderRow="1" firstDataRow="1" firstDataCol="1" rowPageCount="1" colPageCount="1"/>
  <pivotFields count="14">
    <pivotField compact="0" outline="0" showAll="0" defaultSubtotal="0"/>
    <pivotField compact="0" numFmtId="14" outline="0" showAll="0" defaultSubtotal="0"/>
    <pivotField axis="axisRow" compact="0" outline="0" showAll="0" measureFilter="1" defaultSubtotal="0">
      <items count="6">
        <item x="1"/>
        <item x="0"/>
        <item x="3"/>
        <item x="4"/>
        <item x="2"/>
        <item x="5"/>
      </items>
    </pivotField>
    <pivotField compact="0" outline="0" showAll="0" defaultSubtotal="0"/>
    <pivotField compact="0" outline="0" showAll="0" defaultSubtotal="0"/>
    <pivotField compact="0" numFmtId="14" outline="0" showAll="0" defaultSubtotal="0">
      <items count="27">
        <item x="0"/>
        <item m="1" x="2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compact="0" numFmtId="44" outline="0" showAll="0" defaultSubtotal="0"/>
    <pivotField compact="0" outline="0" showAll="0" defaultSubtotal="0">
      <items count="18">
        <item x="0"/>
        <item m="1" x="17"/>
        <item m="1" x="16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"/>
      </items>
    </pivotField>
    <pivotField compact="0" outline="0" showAll="0" defaultSubtotal="0"/>
    <pivotField axis="axisPage" dataField="1" compact="0" numFmtId="44" outline="0" showAll="0" defaultSubtotal="0">
      <items count="30">
        <item x="9"/>
        <item x="5"/>
        <item m="1" x="27"/>
        <item m="1" x="26"/>
        <item x="3"/>
        <item m="1" x="29"/>
        <item x="0"/>
        <item x="20"/>
        <item x="4"/>
        <item x="19"/>
        <item m="1" x="28"/>
        <item m="1" x="25"/>
        <item x="16"/>
        <item x="2"/>
        <item m="1" x="24"/>
        <item x="1"/>
        <item x="8"/>
        <item m="1" x="23"/>
        <item x="11"/>
        <item x="12"/>
        <item x="13"/>
        <item x="21"/>
        <item x="10"/>
        <item x="7"/>
        <item x="18"/>
        <item x="17"/>
        <item x="6"/>
        <item x="22"/>
        <item x="14"/>
        <item x="15"/>
      </items>
    </pivotField>
    <pivotField compact="0" outline="0" showAll="0" defaultSubtotal="0"/>
    <pivotField compact="0" outline="0" showAll="0" defaultSubtotal="0"/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5">
    <i>
      <x/>
    </i>
    <i>
      <x v="1"/>
    </i>
    <i>
      <x v="2"/>
    </i>
    <i>
      <x v="4"/>
    </i>
    <i>
      <x v="5"/>
    </i>
  </rowItems>
  <colItems count="1">
    <i/>
  </colItems>
  <pageFields count="1">
    <pageField fld="9" hier="-1"/>
  </pageFields>
  <dataFields count="1">
    <dataField name="Sum of Balance" fld="9" baseField="0" baseItem="0" numFmtId="44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10130E-D26A-41C3-83F2-BB6A53D7F20C}" name="PivotTable3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3">
  <location ref="J3:K11" firstHeaderRow="1" firstDataRow="1" firstDataCol="1"/>
  <pivotFields count="14">
    <pivotField compact="0" outline="0" showAll="0"/>
    <pivotField compact="0" numFmtId="14" outline="0" showAll="0"/>
    <pivotField compact="0" outline="0" showAll="0"/>
    <pivotField compact="0" outline="0" showAll="0">
      <items count="5">
        <item x="1"/>
        <item x="3"/>
        <item x="0"/>
        <item x="2"/>
        <item t="default"/>
      </items>
    </pivotField>
    <pivotField compact="0" outline="0" showAll="0"/>
    <pivotField compact="0" numFmtId="14" outline="0" showAll="0">
      <items count="28">
        <item x="0"/>
        <item m="1" x="2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compact="0" numFmtId="44" outline="0" showAll="0">
      <items count="27">
        <item x="5"/>
        <item x="14"/>
        <item x="3"/>
        <item x="9"/>
        <item x="4"/>
        <item x="2"/>
        <item x="23"/>
        <item x="1"/>
        <item x="8"/>
        <item x="16"/>
        <item x="22"/>
        <item x="0"/>
        <item x="12"/>
        <item x="11"/>
        <item x="13"/>
        <item x="18"/>
        <item x="21"/>
        <item x="24"/>
        <item x="10"/>
        <item x="7"/>
        <item x="20"/>
        <item x="19"/>
        <item x="6"/>
        <item x="25"/>
        <item x="15"/>
        <item x="17"/>
        <item t="default"/>
      </items>
    </pivotField>
    <pivotField compact="0" outline="0" showAll="0">
      <items count="19">
        <item x="0"/>
        <item m="1" x="17"/>
        <item m="1" x="16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"/>
        <item t="default"/>
      </items>
    </pivotField>
    <pivotField dataField="1" compact="0" outline="0" showAll="0"/>
    <pivotField compact="0" numFmtId="44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outline="0" subtotalTop="0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</pivotFields>
  <rowFields count="1">
    <field x="13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dataFields count="1">
    <dataField name="Sum of Total Paid" fld="8" baseField="0" baseItem="0" numFmtId="170"/>
  </dataFields>
  <formats count="1">
    <format dxfId="24">
      <pivotArea outline="0" collapsedLevelsAreSubtotals="1" fieldPosition="0"/>
    </format>
  </formats>
  <chartFormats count="4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076CFF-D622-4114-9808-42D95531936F}" name="PivotTable2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8">
  <location ref="F3:G7" firstHeaderRow="1" firstDataRow="1" firstDataCol="1" rowPageCount="1" colPageCount="1"/>
  <pivotFields count="14">
    <pivotField compact="0" outline="0" showAll="0"/>
    <pivotField compact="0" numFmtId="14" outline="0" showAll="0"/>
    <pivotField compact="0" outline="0" showAll="0"/>
    <pivotField axis="axisRow" compact="0" outline="0" showAll="0">
      <items count="5">
        <item x="1"/>
        <item x="3"/>
        <item x="0"/>
        <item x="2"/>
        <item t="default"/>
      </items>
    </pivotField>
    <pivotField compact="0" outline="0" showAll="0"/>
    <pivotField compact="0" numFmtId="14" outline="0" showAll="0">
      <items count="28">
        <item x="0"/>
        <item m="1" x="2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Page" dataField="1" compact="0" numFmtId="44" outline="0" showAll="0">
      <items count="27">
        <item x="5"/>
        <item x="14"/>
        <item x="3"/>
        <item x="9"/>
        <item x="4"/>
        <item x="2"/>
        <item x="23"/>
        <item x="1"/>
        <item x="8"/>
        <item x="16"/>
        <item x="22"/>
        <item x="0"/>
        <item x="12"/>
        <item x="11"/>
        <item x="13"/>
        <item x="18"/>
        <item x="21"/>
        <item x="24"/>
        <item x="10"/>
        <item x="7"/>
        <item x="20"/>
        <item x="19"/>
        <item x="6"/>
        <item x="25"/>
        <item x="15"/>
        <item x="17"/>
        <item t="default"/>
      </items>
    </pivotField>
    <pivotField compact="0" outline="0" showAll="0">
      <items count="19">
        <item x="0"/>
        <item m="1" x="17"/>
        <item m="1" x="16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"/>
        <item t="default"/>
      </items>
    </pivotField>
    <pivotField compact="0" outline="0" showAll="0"/>
    <pivotField compact="0" numFmtId="44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3"/>
  </rowFields>
  <rowItems count="4">
    <i>
      <x/>
    </i>
    <i>
      <x v="1"/>
    </i>
    <i>
      <x v="2"/>
    </i>
    <i>
      <x v="3"/>
    </i>
  </rowItems>
  <colItems count="1">
    <i/>
  </colItems>
  <pageFields count="1">
    <pageField fld="6" hier="-1"/>
  </pageFields>
  <dataFields count="1">
    <dataField name="Sum of Total" fld="6" baseField="0" baseItem="0" numFmtId="44"/>
  </dataFields>
  <chartFormats count="5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535363-72D0-48E3-8503-1753CCDA6948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P14:Q25" firstHeaderRow="1" firstDataRow="1" firstDataCol="1"/>
  <pivotFields count="14"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measureFilter="1">
      <items count="11">
        <item x="6"/>
        <item x="5"/>
        <item x="9"/>
        <item x="4"/>
        <item x="3"/>
        <item x="8"/>
        <item x="0"/>
        <item x="2"/>
        <item x="7"/>
        <item x="1"/>
        <item t="default"/>
      </items>
    </pivotField>
    <pivotField compact="0" numFmtId="14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7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Bill Amount" fld="9" baseField="0" baseItem="0" numFmtId="168"/>
  </dataFields>
  <formats count="1">
    <format dxfId="25">
      <pivotArea outline="0" collapsedLevelsAreSubtotals="1" fieldPosition="0"/>
    </format>
  </formats>
  <chartFormats count="4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7A5DC8-0E8D-4988-BE5C-75573B65DEEC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0">
  <location ref="V3:W8" firstHeaderRow="1" firstDataRow="1" firstDataCol="1"/>
  <pivotFields count="14">
    <pivotField compact="0" outline="0" showAll="0"/>
    <pivotField compact="0" outline="0" showAll="0"/>
    <pivotField compact="0" numFmtId="14" outline="0" showAll="0"/>
    <pivotField compact="0" outline="0" showAll="0"/>
    <pivotField axis="axisRow" compact="0" outline="0" showAll="0">
      <items count="5">
        <item x="2"/>
        <item x="1"/>
        <item x="3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mount Due" fld="12" baseField="0" baseItem="0" numFmtId="168"/>
  </dataFields>
  <formats count="1">
    <format dxfId="26">
      <pivotArea outline="0" collapsedLevelsAreSubtotals="1" fieldPosition="0"/>
    </format>
  </formats>
  <chartFormats count="5"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38C019-D034-44BD-B95B-ADA1AC302CFB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L15:M26" firstHeaderRow="1" firstDataRow="1" firstDataCol="1"/>
  <pivotFields count="14">
    <pivotField compact="0" outline="0" showAll="0"/>
    <pivotField axis="axisRow" compact="0" outline="0" showAll="0" measureFilter="1">
      <items count="12">
        <item x="4"/>
        <item x="1"/>
        <item x="10"/>
        <item x="8"/>
        <item x="5"/>
        <item x="3"/>
        <item x="9"/>
        <item x="6"/>
        <item x="2"/>
        <item x="0"/>
        <item x="7"/>
        <item t="default"/>
      </items>
    </pivotField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">
    <field x="1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 of Amount Due" fld="12" baseField="0" baseItem="0" numFmtId="168"/>
  </dataFields>
  <formats count="1">
    <format dxfId="27">
      <pivotArea outline="0" collapsedLevelsAreSubtotals="1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7691B3-B31F-4914-AAEC-3B4B3C96D6C1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 chartFormat="25" fieldListSortAscending="1">
  <location ref="I3:J29" firstHeaderRow="1" firstDataRow="1" firstDataCol="1"/>
  <pivotFields count="14">
    <pivotField showAll="0"/>
    <pivotField numFmtId="14" showAll="0"/>
    <pivotField showAll="0"/>
    <pivotField showAll="0"/>
    <pivotField showAll="0"/>
    <pivotField numFmtId="14" showAll="0">
      <items count="28">
        <item m="1" x="2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0"/>
        <item x="25"/>
        <item t="default"/>
      </items>
    </pivotField>
    <pivotField numFmtId="44" showAll="0"/>
    <pivotField axis="axisRow" showAll="0">
      <items count="19">
        <item x="0"/>
        <item m="1" x="17"/>
        <item m="1" x="16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"/>
        <item t="default"/>
      </items>
    </pivotField>
    <pivotField dataField="1" numFmtId="44" showAll="0"/>
    <pivotField numFmtId="44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13"/>
    <field x="7"/>
  </rowFields>
  <rowItems count="26">
    <i>
      <x/>
    </i>
    <i r="1">
      <x v="17"/>
    </i>
    <i>
      <x v="1"/>
    </i>
    <i r="1">
      <x/>
    </i>
    <i>
      <x v="2"/>
    </i>
    <i r="1">
      <x v="3"/>
    </i>
    <i r="1">
      <x v="4"/>
    </i>
    <i r="1">
      <x v="5"/>
    </i>
    <i>
      <x v="3"/>
    </i>
    <i r="1">
      <x v="6"/>
    </i>
    <i>
      <x v="4"/>
    </i>
    <i r="1">
      <x v="7"/>
    </i>
    <i r="1">
      <x v="8"/>
    </i>
    <i>
      <x v="5"/>
    </i>
    <i r="1">
      <x v="9"/>
    </i>
    <i r="1">
      <x v="10"/>
    </i>
    <i r="1">
      <x v="11"/>
    </i>
    <i>
      <x v="6"/>
    </i>
    <i r="1">
      <x v="12"/>
    </i>
    <i>
      <x v="7"/>
    </i>
    <i r="1">
      <x v="13"/>
    </i>
    <i r="1">
      <x v="14"/>
    </i>
    <i>
      <x v="8"/>
    </i>
    <i r="1">
      <x v="15"/>
    </i>
    <i r="1">
      <x v="16"/>
    </i>
    <i t="grand">
      <x/>
    </i>
  </rowItems>
  <colItems count="1">
    <i/>
  </colItems>
  <dataFields count="1">
    <dataField name="Sum of Total Paid" fld="8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3D1D0-7A1C-4C0C-BEC0-02E462949C49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 chartFormat="26">
  <location ref="F3:G8" firstHeaderRow="1" firstDataRow="1" firstDataCol="1"/>
  <pivotFields count="14">
    <pivotField showAll="0"/>
    <pivotField numFmtId="14" showAll="0"/>
    <pivotField showAll="0"/>
    <pivotField axis="axisRow" showAll="0">
      <items count="5">
        <item x="1"/>
        <item x="3"/>
        <item x="0"/>
        <item x="2"/>
        <item t="default"/>
      </items>
    </pivotField>
    <pivotField showAll="0"/>
    <pivotField numFmtId="14" showAll="0">
      <items count="28">
        <item m="1" x="2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0"/>
        <item x="25"/>
        <item t="default"/>
      </items>
    </pivotField>
    <pivotField dataField="1" numFmtId="44" showAll="0"/>
    <pivotField showAll="0">
      <items count="19">
        <item x="0"/>
        <item m="1" x="17"/>
        <item m="1" x="16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"/>
        <item t="default"/>
      </items>
    </pivotField>
    <pivotField numFmtId="44" showAll="0"/>
    <pivotField numFmtId="44" showAll="0"/>
    <pivotField showAll="0"/>
    <pivotField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  <pivotField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" fld="6" baseField="0" baseItem="0" numFmtId="44"/>
  </dataFields>
  <formats count="2">
    <format dxfId="1">
      <pivotArea field="11" type="button" dataOnly="0" labelOnly="1" outline="0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D84B62-1486-43A1-A6A5-30757819A005}" name="PivotTable1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 chartFormat="20">
  <location ref="Y3:Z14" firstHeaderRow="1" firstDataRow="1" firstDataCol="1"/>
  <pivotFields count="14">
    <pivotField showAll="0"/>
    <pivotField showAll="0"/>
    <pivotField numFmtId="14" showAll="0"/>
    <pivotField showAll="0"/>
    <pivotField showAll="0"/>
    <pivotField showAll="0"/>
    <pivotField showAll="0"/>
    <pivotField axis="axisRow" showAll="0" measureFilter="1" sortType="descending">
      <items count="11">
        <item x="6"/>
        <item x="5"/>
        <item x="9"/>
        <item x="4"/>
        <item x="3"/>
        <item x="8"/>
        <item x="0"/>
        <item x="2"/>
        <item x="7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dataField="1" showAll="0"/>
    <pivotField showAll="0"/>
    <pivotField showAll="0"/>
    <pivotField numFmtId="7" showAll="0"/>
    <pivotField showAll="0"/>
  </pivotFields>
  <rowFields count="1">
    <field x="7"/>
  </rowFields>
  <rowItems count="11">
    <i>
      <x v="6"/>
    </i>
    <i>
      <x v="2"/>
    </i>
    <i>
      <x v="4"/>
    </i>
    <i>
      <x/>
    </i>
    <i>
      <x v="5"/>
    </i>
    <i>
      <x v="9"/>
    </i>
    <i>
      <x v="8"/>
    </i>
    <i>
      <x v="7"/>
    </i>
    <i>
      <x v="3"/>
    </i>
    <i>
      <x v="1"/>
    </i>
    <i t="grand">
      <x/>
    </i>
  </rowItems>
  <colItems count="1">
    <i/>
  </colItems>
  <dataFields count="1">
    <dataField name="Sum of Bill Amount" fld="9" baseField="7" baseItem="0" numFmtId="168"/>
  </dataFields>
  <pivotTableStyleInfo name="PivotStyleLight16" showRowHeaders="1" showColHeaders="1" showRowStripes="0" showColStripes="0" showLastColumn="1"/>
  <filters count="1">
    <filter fld="7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85FB48-303C-42F5-BCE6-954C7AA09CCF}" name="PivotTable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 chartFormat="19">
  <location ref="V3:W8" firstHeaderRow="1" firstDataRow="1" firstDataCol="1"/>
  <pivotFields count="14">
    <pivotField showAll="0"/>
    <pivotField showAll="0"/>
    <pivotField numFmtId="14" showAll="0"/>
    <pivotField showAll="0"/>
    <pivotField axis="axisRow" showAll="0">
      <items count="5">
        <item x="2"/>
        <item x="1"/>
        <item x="3"/>
        <item x="0"/>
        <item t="default"/>
      </items>
    </pivotField>
    <pivotField showAll="0"/>
    <pivotField showAll="0"/>
    <pivotField showAll="0"/>
    <pivotField numFmtId="14" showAll="0"/>
    <pivotField showAll="0"/>
    <pivotField showAll="0"/>
    <pivotField showAll="0"/>
    <pivotField dataField="1" numFmtId="7"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mount Due" fld="12" baseField="0" baseItem="0" numFmtId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C7CD5C-6E68-408D-947F-BAAAB4506A32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 chartFormat="13">
  <location ref="S3:T14" firstHeaderRow="1" firstDataRow="1" firstDataCol="1"/>
  <pivotFields count="14">
    <pivotField showAll="0"/>
    <pivotField axis="axisRow" showAll="0" measureFilter="1" sortType="ascending">
      <items count="12">
        <item x="4"/>
        <item x="1"/>
        <item x="10"/>
        <item x="8"/>
        <item x="5"/>
        <item x="3"/>
        <item x="9"/>
        <item x="6"/>
        <item x="2"/>
        <item x="0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dataField="1" numFmtId="7" showAll="0"/>
    <pivotField showAll="0"/>
  </pivotFields>
  <rowFields count="1">
    <field x="1"/>
  </rowFields>
  <rowItems count="11">
    <i>
      <x v="10"/>
    </i>
    <i>
      <x/>
    </i>
    <i>
      <x v="6"/>
    </i>
    <i>
      <x v="1"/>
    </i>
    <i>
      <x v="5"/>
    </i>
    <i>
      <x v="3"/>
    </i>
    <i>
      <x v="4"/>
    </i>
    <i>
      <x v="9"/>
    </i>
    <i>
      <x v="7"/>
    </i>
    <i>
      <x v="8"/>
    </i>
    <i t="grand">
      <x/>
    </i>
  </rowItems>
  <colItems count="1">
    <i/>
  </colItems>
  <dataFields count="1">
    <dataField name="Sum of Amount Due" fld="12" baseField="0" baseItem="0" numFmtId="7"/>
  </dataFields>
  <pivotTableStyleInfo name="PivotStyleLight16" showRowHeaders="1" showColHeaders="1" showRowStripes="0" showColStripes="0" showLastColumn="1"/>
  <filters count="1">
    <filter fld="1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B0C640-6C57-476F-A5EC-F739AEB61EAA}" name="BillData" displayName="BillData" ref="A3:N41" totalsRowShown="0" headerRowDxfId="23" dataDxfId="22" tableBorderDxfId="21">
  <autoFilter ref="A3:N41" xr:uid="{3BB0C640-6C57-476F-A5EC-F739AEB61EAA}"/>
  <tableColumns count="14">
    <tableColumn id="1" xr3:uid="{44DA76ED-C3B4-4725-BA2E-BBEF45BB490D}" name="Bill ID" dataDxfId="20"/>
    <tableColumn id="2" xr3:uid="{49BABFAA-7256-4DFC-BDB9-B35C7DF91506}" name="Vendor" dataDxfId="19"/>
    <tableColumn id="3" xr3:uid="{4132AA55-803C-484E-99FF-46F106E6C597}" name="Bill Date" dataDxfId="18"/>
    <tableColumn id="12" xr3:uid="{F8EC7FEC-2113-4AD7-8D0E-3DD65B97CF41}" name="Payment Type" dataDxfId="17"/>
    <tableColumn id="4" xr3:uid="{899BDCAB-0D0F-4FE9-8967-CAF3EBD04675}" name="Status" dataDxfId="16"/>
    <tableColumn id="5" xr3:uid="{B4704AC1-4B65-4621-AA9E-F3642E0AFD92}" name="Receipt Name" dataDxfId="15"/>
    <tableColumn id="6" xr3:uid="{F28B5CBC-66EF-45DD-B011-965F32E6646A}" name="Terms" dataDxfId="14"/>
    <tableColumn id="7" xr3:uid="{55936110-2948-49AC-AF16-36F631A81C5A}" name="Category" dataDxfId="13"/>
    <tableColumn id="8" xr3:uid="{3A1CB0F8-0B6F-45D4-A85A-102ECBD2C349}" name="Due Date" dataDxfId="12">
      <calculatedColumnFormula>BillData[[#This Row],[Bill Date]]+30</calculatedColumnFormula>
    </tableColumn>
    <tableColumn id="9" xr3:uid="{F40B746C-5096-4C7D-9151-1647C9AE53B1}" name="Bill Amount" dataDxfId="11" dataCellStyle="Currency"/>
    <tableColumn id="10" xr3:uid="{D547ACA2-D565-42D2-B53B-8338BDCAF052}" name="Paid Date" dataDxfId="10"/>
    <tableColumn id="11" xr3:uid="{A95F6591-1D70-4DC2-BA5A-411AC80C1D83}" name="Paid Amount" dataDxfId="9" dataCellStyle="Currency"/>
    <tableColumn id="14" xr3:uid="{E4318FE6-9240-4E17-A874-A78D19EBD659}" name="Amount Due" dataDxfId="8" dataCellStyle="Currency">
      <calculatedColumnFormula>BillData[[#This Row],[Bill Amount]]-BillData[[#This Row],[Paid Amount]]</calculatedColumnFormula>
    </tableColumn>
    <tableColumn id="13" xr3:uid="{485BA358-0C7E-48C8-BE88-190B53DDEBAC}" name="Notes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326260-FB18-4258-B107-4109E6F41F9D}" name="InvoiceData" displayName="InvoiceData" ref="A3:K29" totalsRowShown="0" headerRowDxfId="6">
  <autoFilter ref="A3:K29" xr:uid="{B5326260-FB18-4258-B107-4109E6F41F9D}"/>
  <tableColumns count="11">
    <tableColumn id="1" xr3:uid="{DBC3F30F-EBC1-4FAF-A782-4BEEA7FC4C3D}" name="Inv. ID"/>
    <tableColumn id="2" xr3:uid="{E48D0CAB-FCC0-41F6-AF67-14C8E79F2235}" name="Date" dataDxfId="5"/>
    <tableColumn id="3" xr3:uid="{4732FD30-7EFE-4D22-9E2D-FB535EFD005A}" name="Customer"/>
    <tableColumn id="4" xr3:uid="{F5D8D186-BB0F-4AAD-8B0B-614D3D09B8D1}" name="Status"/>
    <tableColumn id="5" xr3:uid="{DBA22B11-5518-4A70-856B-E9926EED5816}" name="Terms"/>
    <tableColumn id="6" xr3:uid="{07C03A34-1D6C-4CFB-9E2F-378DD30BF554}" name="Due Date" dataDxfId="4">
      <calculatedColumnFormula>InvoiceData[[#This Row],[Date]]+30</calculatedColumnFormula>
    </tableColumn>
    <tableColumn id="7" xr3:uid="{318837F1-6E5A-47FD-9B0D-897230F4E618}" name="Total" dataCellStyle="Currency"/>
    <tableColumn id="11" xr3:uid="{A523553F-EBB0-4F48-A650-6E248F0E2BBE}" name="Payment Date" dataDxfId="3" dataCellStyle="Currency"/>
    <tableColumn id="8" xr3:uid="{488C1F02-80E6-415D-A7E3-BA5B87D7E00F}" name="Total Paid" dataCellStyle="Currency">
      <calculatedColumnFormula>IFERROR(SUMIF(Pmnt_InvNumb,A4,Pmnt_Amount),"")</calculatedColumnFormula>
    </tableColumn>
    <tableColumn id="9" xr3:uid="{D5C3AE1B-77B3-47F8-9262-D4CEB5A47B9F}" name="Balance" dataDxfId="2" dataCellStyle="Currency">
      <calculatedColumnFormula>IFERROR(G4-I4,"")</calculatedColumnFormula>
    </tableColumn>
    <tableColumn id="10" xr3:uid="{4E6EB0B3-F613-4E6E-B756-F67ABCB617F4}" name="Days Overdue">
      <calculatedColumnFormula>IF(AND(I4&lt;G4,TODAY()&gt;F4),TODAY()-F4,"")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5D30A-2E39-4E57-ADAE-B63015E1375A}">
  <sheetPr codeName="Dashboard"/>
  <dimension ref="A1"/>
  <sheetViews>
    <sheetView showRowColHeaders="0" tabSelected="1" zoomScale="98" zoomScaleNormal="98" workbookViewId="0">
      <selection activeCell="V12" sqref="V12"/>
    </sheetView>
  </sheetViews>
  <sheetFormatPr defaultRowHeight="15" x14ac:dyDescent="0.25"/>
  <cols>
    <col min="1" max="16384" width="9.140625" style="47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F7457-8E42-495D-B539-B766B87A8110}">
  <sheetPr codeName="Sheet5"/>
  <dimension ref="B1:W33"/>
  <sheetViews>
    <sheetView topLeftCell="K2" workbookViewId="0">
      <selection activeCell="U19" sqref="U19"/>
    </sheetView>
  </sheetViews>
  <sheetFormatPr defaultRowHeight="15" x14ac:dyDescent="0.25"/>
  <cols>
    <col min="2" max="2" width="16.28515625" bestFit="1" customWidth="1"/>
    <col min="3" max="3" width="14.85546875" bestFit="1" customWidth="1"/>
    <col min="6" max="6" width="11.28515625" bestFit="1" customWidth="1"/>
    <col min="7" max="7" width="12.140625" bestFit="1" customWidth="1"/>
    <col min="9" max="9" width="22.42578125" bestFit="1" customWidth="1"/>
    <col min="10" max="10" width="24.85546875" bestFit="1" customWidth="1"/>
    <col min="11" max="11" width="16.5703125" bestFit="1" customWidth="1"/>
    <col min="12" max="12" width="16.28515625" bestFit="1" customWidth="1"/>
    <col min="13" max="13" width="19.140625" bestFit="1" customWidth="1"/>
    <col min="16" max="16" width="24.140625" bestFit="1" customWidth="1"/>
    <col min="17" max="17" width="18.28515625" bestFit="1" customWidth="1"/>
    <col min="22" max="22" width="12.7109375" bestFit="1" customWidth="1"/>
    <col min="23" max="23" width="19.140625" bestFit="1" customWidth="1"/>
  </cols>
  <sheetData>
    <row r="1" spans="2:23" x14ac:dyDescent="0.25">
      <c r="B1" s="30" t="s">
        <v>44</v>
      </c>
      <c r="C1" t="s">
        <v>55</v>
      </c>
      <c r="F1" s="30" t="s">
        <v>42</v>
      </c>
      <c r="G1" t="s">
        <v>55</v>
      </c>
      <c r="M1" s="54"/>
      <c r="N1" s="54" t="s">
        <v>45</v>
      </c>
      <c r="O1" s="54"/>
      <c r="P1" s="54"/>
      <c r="Q1" s="54"/>
      <c r="R1" s="54"/>
      <c r="S1" s="54"/>
      <c r="T1" s="54"/>
    </row>
    <row r="2" spans="2:23" x14ac:dyDescent="0.25">
      <c r="B2" s="48" t="s">
        <v>116</v>
      </c>
      <c r="C2" s="48"/>
      <c r="F2" s="49" t="s">
        <v>117</v>
      </c>
      <c r="G2" s="49"/>
      <c r="J2" s="50" t="s">
        <v>118</v>
      </c>
      <c r="K2" s="50"/>
      <c r="M2" t="s">
        <v>125</v>
      </c>
      <c r="N2" t="s">
        <v>126</v>
      </c>
      <c r="O2" t="s">
        <v>127</v>
      </c>
    </row>
    <row r="3" spans="2:23" x14ac:dyDescent="0.25">
      <c r="B3" s="30" t="s">
        <v>41</v>
      </c>
      <c r="C3" t="s">
        <v>56</v>
      </c>
      <c r="F3" s="30" t="s">
        <v>3</v>
      </c>
      <c r="G3" t="s">
        <v>61</v>
      </c>
      <c r="J3" s="30" t="s">
        <v>120</v>
      </c>
      <c r="K3" t="s">
        <v>58</v>
      </c>
      <c r="M3" t="s">
        <v>69</v>
      </c>
      <c r="N3">
        <f ca="1">COUNTIF(InvoiceData[Days Overdue],"")</f>
        <v>6</v>
      </c>
      <c r="O3">
        <f ca="1">SUMIF(InvoiceData[Days Overdue],"",InvoiceData[Balance])</f>
        <v>-193</v>
      </c>
      <c r="P3" t="str">
        <f ca="1">N3&amp;" "&amp;" Invoices are "&amp;M3&amp;" "&amp;TEXT(O3,"$#,##.00")</f>
        <v>6  Invoices are Current -$193.00</v>
      </c>
      <c r="V3" s="30" t="s">
        <v>3</v>
      </c>
      <c r="W3" t="s">
        <v>76</v>
      </c>
    </row>
    <row r="4" spans="2:23" x14ac:dyDescent="0.25">
      <c r="B4" t="s">
        <v>29</v>
      </c>
      <c r="C4" s="32">
        <v>2588</v>
      </c>
      <c r="F4" t="s">
        <v>49</v>
      </c>
      <c r="G4" s="32">
        <v>6518</v>
      </c>
      <c r="J4" t="s">
        <v>59</v>
      </c>
      <c r="K4" s="53">
        <v>450</v>
      </c>
      <c r="M4" s="36" t="s">
        <v>123</v>
      </c>
      <c r="N4">
        <f ca="1">COUNTIFS(InvoiceData[Days Overdue],"&gt;0",InvoiceData[Days Overdue],"&lt;=30")</f>
        <v>2</v>
      </c>
      <c r="O4">
        <f ca="1">SUMIFS(InvoiceData[Balance],InvoiceData[Days Overdue],"&gt;0",InvoiceData[Days Overdue],"&lt;=30")</f>
        <v>1508</v>
      </c>
      <c r="P4" t="str">
        <f ca="1">N4&amp;" "&amp;" Invoices are OverDue by "&amp;M4&amp;" Days"&amp;" "&amp;TEXT(O4,"$#,##.00")</f>
        <v>2  Invoices are OverDue by 1-30' Days $1,508.00</v>
      </c>
      <c r="V4" t="s">
        <v>27</v>
      </c>
      <c r="W4" s="41">
        <v>5128.3809523809532</v>
      </c>
    </row>
    <row r="5" spans="2:23" x14ac:dyDescent="0.25">
      <c r="B5" t="s">
        <v>18</v>
      </c>
      <c r="C5" s="32">
        <v>871.78571428571433</v>
      </c>
      <c r="F5" t="s">
        <v>52</v>
      </c>
      <c r="G5" s="32">
        <v>1696</v>
      </c>
      <c r="J5" t="s">
        <v>60</v>
      </c>
      <c r="K5" s="53">
        <v>388</v>
      </c>
      <c r="M5" t="s">
        <v>122</v>
      </c>
      <c r="N5">
        <f ca="1">COUNTIFS(InvoiceData[Days Overdue],"&gt;30",InvoiceData[Days Overdue],"&lt;=60")</f>
        <v>2</v>
      </c>
      <c r="O5">
        <f ca="1">SUMIFS(InvoiceData[Balance],InvoiceData[Days Overdue],"&gt;30",InvoiceData[Days Overdue],"&lt;=60")</f>
        <v>208</v>
      </c>
      <c r="P5" t="str">
        <f t="shared" ref="P5:P7" ca="1" si="0">N5&amp;" "&amp;" Invoices are OverDue by "&amp;M5&amp;" Days"&amp;" "&amp;TEXT(O5,"$#,##.00")</f>
        <v>2  Invoices are OverDue by 31-60 Days $208.00</v>
      </c>
      <c r="V5" t="s">
        <v>23</v>
      </c>
      <c r="W5" s="41">
        <v>1695</v>
      </c>
    </row>
    <row r="6" spans="2:23" x14ac:dyDescent="0.25">
      <c r="B6" t="s">
        <v>50</v>
      </c>
      <c r="C6" s="32">
        <v>3108.8809523809523</v>
      </c>
      <c r="F6" t="s">
        <v>51</v>
      </c>
      <c r="G6" s="32">
        <v>4013</v>
      </c>
      <c r="J6" t="s">
        <v>57</v>
      </c>
      <c r="K6" s="53">
        <v>450</v>
      </c>
      <c r="M6" t="s">
        <v>124</v>
      </c>
      <c r="N6">
        <f ca="1">COUNTIFS(InvoiceData[Days Overdue],"&gt;60",InvoiceData[Days Overdue],"&lt;=90")</f>
        <v>3</v>
      </c>
      <c r="O6">
        <f ca="1">SUMIFS(InvoiceData[Balance],InvoiceData[Days Overdue],"&gt;60",InvoiceData[Days Overdue],"&lt;=90")</f>
        <v>1795</v>
      </c>
      <c r="P6" t="str">
        <f t="shared" ca="1" si="0"/>
        <v>3  Invoices are OverDue by 61-90 Days $1,795.00</v>
      </c>
      <c r="V6" t="s">
        <v>32</v>
      </c>
      <c r="W6" s="41">
        <v>1251</v>
      </c>
    </row>
    <row r="7" spans="2:23" x14ac:dyDescent="0.25">
      <c r="B7" t="s">
        <v>30</v>
      </c>
      <c r="C7" s="32">
        <v>2919.9761904761904</v>
      </c>
      <c r="F7" t="s">
        <v>14</v>
      </c>
      <c r="G7" s="32">
        <v>1575.5</v>
      </c>
      <c r="J7" t="s">
        <v>63</v>
      </c>
      <c r="K7" s="53">
        <v>38.142857142857196</v>
      </c>
      <c r="M7" t="s">
        <v>72</v>
      </c>
      <c r="N7">
        <f ca="1">COUNTIF(InvoiceData[Days Overdue],"&gt;90")</f>
        <v>13</v>
      </c>
      <c r="O7">
        <f ca="1">SUMIFS(InvoiceData[Balance],InvoiceData[Days Overdue],"&gt;90")</f>
        <v>6557.7857142857147</v>
      </c>
      <c r="P7" t="str">
        <f t="shared" ca="1" si="0"/>
        <v>13  Invoices are OverDue by &gt;90 Days $6,557.79</v>
      </c>
      <c r="V7" t="s">
        <v>14</v>
      </c>
      <c r="W7" s="41">
        <v>13349.690476190472</v>
      </c>
    </row>
    <row r="8" spans="2:23" x14ac:dyDescent="0.25">
      <c r="B8" t="s">
        <v>77</v>
      </c>
      <c r="C8" s="32">
        <v>859</v>
      </c>
      <c r="J8" t="s">
        <v>64</v>
      </c>
      <c r="K8" s="53">
        <v>570.71428571428578</v>
      </c>
      <c r="V8" t="s">
        <v>54</v>
      </c>
      <c r="W8" s="41">
        <v>21424.071428571424</v>
      </c>
    </row>
    <row r="9" spans="2:23" x14ac:dyDescent="0.25">
      <c r="J9" t="s">
        <v>65</v>
      </c>
      <c r="K9" s="53">
        <v>300</v>
      </c>
    </row>
    <row r="10" spans="2:23" x14ac:dyDescent="0.25">
      <c r="J10" t="s">
        <v>66</v>
      </c>
      <c r="K10" s="53">
        <v>900</v>
      </c>
    </row>
    <row r="11" spans="2:23" x14ac:dyDescent="0.25">
      <c r="J11" t="s">
        <v>67</v>
      </c>
      <c r="K11" s="53">
        <v>358</v>
      </c>
    </row>
    <row r="14" spans="2:23" x14ac:dyDescent="0.25">
      <c r="L14" s="56" t="s">
        <v>139</v>
      </c>
      <c r="M14" s="56"/>
      <c r="P14" s="30" t="s">
        <v>80</v>
      </c>
      <c r="Q14" t="s">
        <v>107</v>
      </c>
    </row>
    <row r="15" spans="2:23" x14ac:dyDescent="0.25">
      <c r="I15" s="56"/>
      <c r="J15" s="56" t="s">
        <v>128</v>
      </c>
      <c r="L15" s="30" t="s">
        <v>1</v>
      </c>
      <c r="M15" t="s">
        <v>76</v>
      </c>
      <c r="P15" t="s">
        <v>98</v>
      </c>
      <c r="Q15" s="41">
        <v>4255</v>
      </c>
    </row>
    <row r="16" spans="2:23" x14ac:dyDescent="0.25">
      <c r="I16" t="s">
        <v>133</v>
      </c>
      <c r="J16" s="57">
        <f ca="1">TODAY()</f>
        <v>45909</v>
      </c>
      <c r="L16" t="s">
        <v>29</v>
      </c>
      <c r="M16" s="41">
        <v>245</v>
      </c>
      <c r="P16" t="s">
        <v>96</v>
      </c>
      <c r="Q16" s="41">
        <v>1684.5714285714271</v>
      </c>
    </row>
    <row r="17" spans="9:17" x14ac:dyDescent="0.25">
      <c r="I17" t="s">
        <v>129</v>
      </c>
      <c r="J17" s="55">
        <f>COUNTIFS(BillData[Status],"Unpaid")+COUNTIF(BillData[Status],"Partially Paid")</f>
        <v>23</v>
      </c>
      <c r="L17" t="s">
        <v>18</v>
      </c>
      <c r="M17" s="41">
        <v>605</v>
      </c>
      <c r="P17" t="s">
        <v>104</v>
      </c>
      <c r="Q17" s="41">
        <v>5080.6904761904734</v>
      </c>
    </row>
    <row r="18" spans="9:17" x14ac:dyDescent="0.25">
      <c r="I18" t="s">
        <v>111</v>
      </c>
      <c r="J18" s="39">
        <f>SUM(BillData[Amount Due])</f>
        <v>21424.071428571424</v>
      </c>
      <c r="L18" t="s">
        <v>34</v>
      </c>
      <c r="M18" s="41">
        <v>933.33333333333303</v>
      </c>
      <c r="P18" t="s">
        <v>94</v>
      </c>
      <c r="Q18" s="41">
        <v>2541.2380952380931</v>
      </c>
    </row>
    <row r="19" spans="9:17" x14ac:dyDescent="0.25">
      <c r="I19" t="s">
        <v>130</v>
      </c>
      <c r="J19" s="55">
        <f>COUNTIF(InvoiceData[Status],"&lt;&gt;Paid")</f>
        <v>21</v>
      </c>
      <c r="L19" t="s">
        <v>30</v>
      </c>
      <c r="M19" s="41">
        <v>1450</v>
      </c>
      <c r="P19" t="s">
        <v>92</v>
      </c>
      <c r="Q19" s="41">
        <v>4813.9285714285734</v>
      </c>
    </row>
    <row r="20" spans="9:17" x14ac:dyDescent="0.25">
      <c r="I20" t="s">
        <v>131</v>
      </c>
      <c r="J20" s="39">
        <f>SUM(InvoiceData[Balance])</f>
        <v>9875.7857142857138</v>
      </c>
      <c r="L20" t="s">
        <v>26</v>
      </c>
      <c r="M20" s="41">
        <v>850</v>
      </c>
      <c r="P20" t="s">
        <v>102</v>
      </c>
      <c r="Q20" s="41">
        <v>3943.5595238095229</v>
      </c>
    </row>
    <row r="21" spans="9:17" x14ac:dyDescent="0.25">
      <c r="I21" t="str">
        <f ca="1">UPPER(TEXT(DATE(YEAR(TODAY()),MONTH(TODAY()),1),"mmmm"))&amp;" CASH FLOW"</f>
        <v>SEPTEMBER CASH FLOW</v>
      </c>
      <c r="J21" s="41">
        <f ca="1">SUMIFS(InvoiceData[Total Paid],InvoiceData[Payment Date],"&gt;="&amp;DATE(YEAR(TODAY()),MONTH(TODAY()),1),InvoiceData[Payment Date],"&lt;="&amp;EOMONTH(DATE(YEAR(TODAY()),MONTH(TODAY()),1),0))-SUMIFS(BillData[Paid Amount],BillData[Paid Date],"&gt;="&amp;DATE(YEAR(TODAY()),MONTH(TODAY()),1),BillData[Paid Date],"&lt;="&amp;EOMONTH(DATE(YEAR(TODAY()),MONTH(TODAY()),1),0))</f>
        <v>0</v>
      </c>
      <c r="L21" t="s">
        <v>35</v>
      </c>
      <c r="M21" s="41">
        <v>251</v>
      </c>
      <c r="P21" t="s">
        <v>86</v>
      </c>
      <c r="Q21" s="41">
        <v>8826.9999999999945</v>
      </c>
    </row>
    <row r="22" spans="9:17" x14ac:dyDescent="0.25">
      <c r="L22" t="s">
        <v>31</v>
      </c>
      <c r="M22" s="41">
        <v>4728.3809523809532</v>
      </c>
      <c r="P22" t="s">
        <v>90</v>
      </c>
      <c r="Q22" s="41">
        <v>2681.6190476190532</v>
      </c>
    </row>
    <row r="23" spans="9:17" x14ac:dyDescent="0.25">
      <c r="I23" s="56" t="s">
        <v>132</v>
      </c>
      <c r="J23" s="56"/>
      <c r="L23" t="s">
        <v>22</v>
      </c>
      <c r="M23" s="41">
        <v>7738.0238095238074</v>
      </c>
      <c r="P23" t="s">
        <v>100</v>
      </c>
      <c r="Q23" s="41">
        <v>2846.4047619047633</v>
      </c>
    </row>
    <row r="24" spans="9:17" x14ac:dyDescent="0.25">
      <c r="I24" t="str">
        <f ca="1">UPPER(("Total ")&amp;UPPER(TEXT(DATE(YEAR(TODAY()),MONTH(TODAY()),1),"yyyy"))&amp;" Payments")</f>
        <v>TOTAL 2025 PAYMENTS</v>
      </c>
      <c r="J24" s="41">
        <f ca="1">SUMIFS(InvoiceData[Total Paid],InvoiceData[Payment Date],"&gt;="&amp;DATE(YEAR(TODAY()),MONTH(TODAY()),1),InvoiceData[Payment Date],"&lt;="&amp;EOMONTH(DATE(YEAR(TODAY()),MONTH(TODAY()),1),11))</f>
        <v>0</v>
      </c>
      <c r="L24" t="s">
        <v>13</v>
      </c>
      <c r="M24" s="41">
        <v>4378.333333333333</v>
      </c>
      <c r="P24" t="s">
        <v>88</v>
      </c>
      <c r="Q24" s="41">
        <v>3588.3095238095229</v>
      </c>
    </row>
    <row r="25" spans="9:17" x14ac:dyDescent="0.25">
      <c r="I25" t="str">
        <f ca="1">UPPER("total ")&amp;UPPER(TEXT(DATE(YEAR(TODAY()),MONTH(TODAY()),1),"mmmm")&amp;UPPER(" Payments"))</f>
        <v>TOTAL SEPTEMBER PAYMENTS</v>
      </c>
      <c r="J25" s="41">
        <f ca="1">SUMIFS(InvoiceData[Total Paid],InvoiceData[Payment Date],"&gt;="&amp;DATE(YEAR(TODAY()),MONTH(TODAY()),1),InvoiceData[Payment Date],"&lt;="&amp;EOMONTH(DATE(YEAR(TODAY()),MONTH(TODAY()),1),0))</f>
        <v>0</v>
      </c>
      <c r="L25" t="s">
        <v>33</v>
      </c>
      <c r="M25" s="41">
        <v>245</v>
      </c>
      <c r="P25" t="s">
        <v>54</v>
      </c>
      <c r="Q25" s="41">
        <v>40262.32142857142</v>
      </c>
    </row>
    <row r="26" spans="9:17" x14ac:dyDescent="0.25">
      <c r="L26" t="s">
        <v>54</v>
      </c>
      <c r="M26" s="41">
        <v>21424.071428571424</v>
      </c>
    </row>
    <row r="29" spans="9:17" x14ac:dyDescent="0.25">
      <c r="I29" s="56" t="s">
        <v>134</v>
      </c>
      <c r="J29" s="56"/>
    </row>
    <row r="30" spans="9:17" x14ac:dyDescent="0.25">
      <c r="I30" t="s">
        <v>135</v>
      </c>
      <c r="J30" s="41">
        <f ca="1">SUMIFS(BillData[Amount Due],BillData[Due Date],"&gt;="&amp;TODAY()-WEEKDAY(TODAY(),2)+1,BillData[Due Date],"&lt;="&amp;TODAY()-WEEKDAY(TODAY(),2)+7)</f>
        <v>0</v>
      </c>
      <c r="K30" t="str">
        <f ca="1">TEXT(J30,"$#,#0.00")&amp;" "&amp;I30</f>
        <v>$0.00 Bills Due this week</v>
      </c>
    </row>
    <row r="31" spans="9:17" x14ac:dyDescent="0.25">
      <c r="I31" t="s">
        <v>136</v>
      </c>
      <c r="J31" s="41">
        <f ca="1">SUMIFS(BillData[Amount Due],BillData[Due Date],"&gt;="&amp;DATE(YEAR(TODAY()),MONTH(TODAY()),1),BillData[Due Date],"&lt;="&amp;DATE(YEAR(TODAY()),MONTH(TODAY()),DAY(EOMONTH(TODAY(),0))))</f>
        <v>0</v>
      </c>
      <c r="K31" t="str">
        <f t="shared" ref="K31:K33" ca="1" si="1">TEXT(J31,"$#,#0.00")&amp;" "&amp;I31</f>
        <v>$0.00 Bills Due this month</v>
      </c>
    </row>
    <row r="32" spans="9:17" x14ac:dyDescent="0.25">
      <c r="I32" t="s">
        <v>137</v>
      </c>
      <c r="J32" s="41">
        <f ca="1">SUMIFS(BillData[Paid Amount],BillData[Paid Date],"&gt;="&amp;TODAY()+1-WEEKDAY(TODAY(),2),BillData[Paid Date],"&lt;="&amp;TODAY()-WEEKDAY(TODAY(),2)+7)</f>
        <v>0</v>
      </c>
      <c r="K32" t="str">
        <f t="shared" ca="1" si="1"/>
        <v>$0.00 Bills paid this week</v>
      </c>
    </row>
    <row r="33" spans="9:11" x14ac:dyDescent="0.25">
      <c r="I33" t="s">
        <v>138</v>
      </c>
      <c r="J33" s="41">
        <f ca="1">SUMIFS(BillData[Paid Amount],BillData[Paid Date],"&gt;="&amp;DATE(YEAR(TODAY()),MONTH(TODAY()),1),BillData[Paid Date],"&lt;="&amp;EOMONTH(DATE(YEAR(TODAY()),MONTH(TODAY()),1),0))</f>
        <v>0</v>
      </c>
      <c r="K33" t="str">
        <f t="shared" ca="1" si="1"/>
        <v>$0.00 Bills paid this month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24C97-E613-452E-971D-AC0E8B85E7C5}">
  <sheetPr codeName="Sheet2"/>
  <dimension ref="A1:W41"/>
  <sheetViews>
    <sheetView topLeftCell="A4" workbookViewId="0">
      <selection activeCell="H18" sqref="H18"/>
    </sheetView>
  </sheetViews>
  <sheetFormatPr defaultRowHeight="15" x14ac:dyDescent="0.25"/>
  <cols>
    <col min="1" max="1" width="5.7109375" bestFit="1" customWidth="1"/>
    <col min="2" max="2" width="14.7109375" bestFit="1" customWidth="1"/>
    <col min="3" max="3" width="9.140625" bestFit="1" customWidth="1"/>
    <col min="4" max="4" width="12.28515625" bestFit="1" customWidth="1"/>
    <col min="5" max="5" width="18.85546875" bestFit="1" customWidth="1"/>
    <col min="6" max="6" width="13.28515625" bestFit="1" customWidth="1"/>
    <col min="7" max="7" width="9.28515625" bestFit="1" customWidth="1"/>
    <col min="8" max="8" width="21.7109375" bestFit="1" customWidth="1"/>
    <col min="9" max="9" width="10.28515625" customWidth="1"/>
    <col min="10" max="10" width="12.28515625" customWidth="1"/>
    <col min="11" max="11" width="12.7109375" bestFit="1" customWidth="1"/>
    <col min="12" max="12" width="12.28515625" bestFit="1" customWidth="1"/>
    <col min="13" max="13" width="14.85546875" bestFit="1" customWidth="1"/>
    <col min="14" max="14" width="12.28515625" bestFit="1" customWidth="1"/>
    <col min="16" max="16" width="9.140625" bestFit="1" customWidth="1"/>
    <col min="21" max="21" width="21.7109375" bestFit="1" customWidth="1"/>
    <col min="22" max="22" width="51" bestFit="1" customWidth="1"/>
  </cols>
  <sheetData>
    <row r="1" spans="1:23" x14ac:dyDescent="0.25">
      <c r="A1" s="59" t="s">
        <v>47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</row>
    <row r="2" spans="1:23" x14ac:dyDescent="0.2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</row>
    <row r="3" spans="1:23" x14ac:dyDescent="0.25">
      <c r="A3" s="21" t="s">
        <v>0</v>
      </c>
      <c r="B3" s="21" t="s">
        <v>1</v>
      </c>
      <c r="C3" s="22" t="s">
        <v>2</v>
      </c>
      <c r="D3" s="23" t="s">
        <v>10</v>
      </c>
      <c r="E3" s="21" t="s">
        <v>3</v>
      </c>
      <c r="F3" s="21" t="s">
        <v>4</v>
      </c>
      <c r="G3" s="21" t="s">
        <v>5</v>
      </c>
      <c r="H3" s="21" t="s">
        <v>80</v>
      </c>
      <c r="I3" s="22" t="s">
        <v>6</v>
      </c>
      <c r="J3" s="24" t="s">
        <v>7</v>
      </c>
      <c r="K3" s="25" t="s">
        <v>8</v>
      </c>
      <c r="L3" s="26" t="s">
        <v>9</v>
      </c>
      <c r="M3" s="26" t="s">
        <v>12</v>
      </c>
      <c r="N3" s="23" t="s">
        <v>11</v>
      </c>
    </row>
    <row r="4" spans="1:23" x14ac:dyDescent="0.25">
      <c r="A4" s="1">
        <v>1</v>
      </c>
      <c r="B4" s="2" t="s">
        <v>13</v>
      </c>
      <c r="C4" s="3">
        <v>45687</v>
      </c>
      <c r="D4" t="s">
        <v>17</v>
      </c>
      <c r="E4" s="4" t="s">
        <v>14</v>
      </c>
      <c r="F4" s="5" t="s">
        <v>15</v>
      </c>
      <c r="G4" s="6" t="s">
        <v>16</v>
      </c>
      <c r="H4" s="2" t="s">
        <v>86</v>
      </c>
      <c r="I4" s="7">
        <f>BillData[[#This Row],[Bill Date]]+30</f>
        <v>45717</v>
      </c>
      <c r="J4" s="8">
        <v>2245</v>
      </c>
      <c r="K4" s="7">
        <v>45731</v>
      </c>
      <c r="L4" s="9">
        <v>100</v>
      </c>
      <c r="M4" s="9">
        <f>BillData[[#This Row],[Bill Amount]]-BillData[[#This Row],[Paid Amount]]</f>
        <v>2145</v>
      </c>
      <c r="N4" t="s">
        <v>48</v>
      </c>
      <c r="P4" s="12"/>
    </row>
    <row r="5" spans="1:23" x14ac:dyDescent="0.25">
      <c r="A5" s="11">
        <v>2</v>
      </c>
      <c r="B5" t="s">
        <v>18</v>
      </c>
      <c r="C5" s="12">
        <v>45689</v>
      </c>
      <c r="D5" t="s">
        <v>17</v>
      </c>
      <c r="E5" s="13" t="s">
        <v>14</v>
      </c>
      <c r="F5" s="14" t="s">
        <v>19</v>
      </c>
      <c r="G5" s="15" t="s">
        <v>20</v>
      </c>
      <c r="H5" t="s">
        <v>88</v>
      </c>
      <c r="I5" s="7">
        <f>BillData[[#This Row],[Bill Date]]+30</f>
        <v>45719</v>
      </c>
      <c r="J5" s="16">
        <v>254</v>
      </c>
      <c r="K5" s="12"/>
      <c r="L5" s="9">
        <v>100</v>
      </c>
      <c r="M5" s="9">
        <f>BillData[[#This Row],[Bill Amount]]-BillData[[#This Row],[Paid Amount]]</f>
        <v>154</v>
      </c>
      <c r="N5" t="s">
        <v>21</v>
      </c>
      <c r="P5" s="12"/>
      <c r="U5" t="s">
        <v>81</v>
      </c>
    </row>
    <row r="6" spans="1:23" x14ac:dyDescent="0.25">
      <c r="A6" s="11">
        <v>3</v>
      </c>
      <c r="B6" t="s">
        <v>22</v>
      </c>
      <c r="C6" s="12">
        <v>45691</v>
      </c>
      <c r="D6" t="s">
        <v>25</v>
      </c>
      <c r="E6" s="13" t="s">
        <v>23</v>
      </c>
      <c r="F6" s="14" t="s">
        <v>24</v>
      </c>
      <c r="G6" s="15" t="s">
        <v>16</v>
      </c>
      <c r="H6" t="s">
        <v>90</v>
      </c>
      <c r="I6" s="7">
        <f>BillData[[#This Row],[Bill Date]]+30</f>
        <v>45721</v>
      </c>
      <c r="J6" s="16">
        <v>450</v>
      </c>
      <c r="K6" s="7">
        <f>BillData[[#This Row],[Due Date]]</f>
        <v>45721</v>
      </c>
      <c r="L6" s="9">
        <v>450</v>
      </c>
      <c r="M6" s="9">
        <f>BillData[[#This Row],[Bill Amount]]-BillData[[#This Row],[Paid Amount]]</f>
        <v>0</v>
      </c>
      <c r="P6" s="12"/>
      <c r="U6" s="40" t="s">
        <v>82</v>
      </c>
      <c r="V6" s="40" t="s">
        <v>83</v>
      </c>
      <c r="W6" s="40"/>
    </row>
    <row r="7" spans="1:23" x14ac:dyDescent="0.25">
      <c r="A7" s="11">
        <v>4</v>
      </c>
      <c r="B7" t="s">
        <v>18</v>
      </c>
      <c r="C7" s="12">
        <v>45693</v>
      </c>
      <c r="E7" s="13" t="s">
        <v>14</v>
      </c>
      <c r="F7" s="14"/>
      <c r="G7" s="15" t="s">
        <v>16</v>
      </c>
      <c r="H7" t="s">
        <v>92</v>
      </c>
      <c r="I7" s="7">
        <f>BillData[[#This Row],[Bill Date]]+30</f>
        <v>45723</v>
      </c>
      <c r="J7" s="16">
        <v>451</v>
      </c>
      <c r="K7" s="7">
        <f>BillData[[#This Row],[Due Date]]</f>
        <v>45723</v>
      </c>
      <c r="L7" s="10"/>
      <c r="M7" s="9">
        <f>BillData[[#This Row],[Bill Amount]]-BillData[[#This Row],[Paid Amount]]</f>
        <v>451</v>
      </c>
      <c r="N7" t="s">
        <v>21</v>
      </c>
      <c r="P7" s="12"/>
      <c r="U7" t="s">
        <v>84</v>
      </c>
      <c r="V7" t="s">
        <v>85</v>
      </c>
    </row>
    <row r="8" spans="1:23" x14ac:dyDescent="0.25">
      <c r="A8" s="11">
        <v>5</v>
      </c>
      <c r="B8" t="s">
        <v>26</v>
      </c>
      <c r="C8" s="12">
        <v>45695</v>
      </c>
      <c r="E8" s="13" t="s">
        <v>27</v>
      </c>
      <c r="F8" s="14"/>
      <c r="G8" s="15" t="s">
        <v>16</v>
      </c>
      <c r="H8" t="s">
        <v>94</v>
      </c>
      <c r="I8" s="7">
        <f>BillData[[#This Row],[Bill Date]]+30</f>
        <v>45725</v>
      </c>
      <c r="J8" s="16">
        <v>400</v>
      </c>
      <c r="K8" s="12"/>
      <c r="L8" s="10"/>
      <c r="M8" s="9">
        <f>BillData[[#This Row],[Bill Amount]]-BillData[[#This Row],[Paid Amount]]</f>
        <v>400</v>
      </c>
      <c r="P8" s="12"/>
      <c r="U8" t="s">
        <v>86</v>
      </c>
      <c r="V8" t="s">
        <v>87</v>
      </c>
    </row>
    <row r="9" spans="1:23" x14ac:dyDescent="0.25">
      <c r="A9" s="11">
        <v>6</v>
      </c>
      <c r="B9" t="s">
        <v>13</v>
      </c>
      <c r="C9" s="12">
        <v>45697</v>
      </c>
      <c r="E9" s="13" t="s">
        <v>14</v>
      </c>
      <c r="F9" s="14"/>
      <c r="G9" s="15" t="s">
        <v>28</v>
      </c>
      <c r="H9" t="s">
        <v>96</v>
      </c>
      <c r="I9" s="7">
        <f>BillData[[#This Row],[Bill Date]]+30</f>
        <v>45727</v>
      </c>
      <c r="J9" s="16">
        <v>200</v>
      </c>
      <c r="K9" s="7">
        <f>BillData[[#This Row],[Due Date]]</f>
        <v>45727</v>
      </c>
      <c r="L9" s="10"/>
      <c r="M9" s="9">
        <f>BillData[[#This Row],[Bill Amount]]-BillData[[#This Row],[Paid Amount]]</f>
        <v>200</v>
      </c>
      <c r="P9" s="12"/>
      <c r="U9" t="s">
        <v>88</v>
      </c>
      <c r="V9" t="s">
        <v>89</v>
      </c>
    </row>
    <row r="10" spans="1:23" x14ac:dyDescent="0.25">
      <c r="A10" s="11">
        <v>7</v>
      </c>
      <c r="B10" t="s">
        <v>29</v>
      </c>
      <c r="C10" s="12">
        <v>45699</v>
      </c>
      <c r="E10" s="13" t="s">
        <v>14</v>
      </c>
      <c r="F10" s="14"/>
      <c r="G10" s="15" t="s">
        <v>16</v>
      </c>
      <c r="H10" t="s">
        <v>98</v>
      </c>
      <c r="I10" s="7">
        <f>BillData[[#This Row],[Bill Date]]+30</f>
        <v>45729</v>
      </c>
      <c r="J10" s="17">
        <v>245</v>
      </c>
      <c r="K10" s="12"/>
      <c r="L10" s="10"/>
      <c r="M10" s="9">
        <f>BillData[[#This Row],[Bill Amount]]-BillData[[#This Row],[Paid Amount]]</f>
        <v>245</v>
      </c>
      <c r="P10" s="12"/>
      <c r="U10" t="s">
        <v>90</v>
      </c>
      <c r="V10" t="s">
        <v>91</v>
      </c>
    </row>
    <row r="11" spans="1:23" x14ac:dyDescent="0.25">
      <c r="A11" s="11">
        <v>8</v>
      </c>
      <c r="B11" t="s">
        <v>18</v>
      </c>
      <c r="C11" s="12">
        <v>45701</v>
      </c>
      <c r="D11" t="s">
        <v>17</v>
      </c>
      <c r="E11" s="13" t="s">
        <v>23</v>
      </c>
      <c r="F11" s="14"/>
      <c r="G11" s="15" t="s">
        <v>16</v>
      </c>
      <c r="H11" t="s">
        <v>100</v>
      </c>
      <c r="I11" s="7">
        <f>BillData[[#This Row],[Bill Date]]+30</f>
        <v>45731</v>
      </c>
      <c r="J11" s="16">
        <v>254</v>
      </c>
      <c r="K11" s="7">
        <f>BillData[[#This Row],[Due Date]]</f>
        <v>45731</v>
      </c>
      <c r="L11" s="9">
        <v>254</v>
      </c>
      <c r="M11" s="9">
        <f>BillData[[#This Row],[Bill Amount]]-BillData[[#This Row],[Paid Amount]]</f>
        <v>0</v>
      </c>
      <c r="P11" s="12"/>
      <c r="U11" t="s">
        <v>92</v>
      </c>
      <c r="V11" t="s">
        <v>93</v>
      </c>
    </row>
    <row r="12" spans="1:23" x14ac:dyDescent="0.25">
      <c r="A12" s="11">
        <v>9</v>
      </c>
      <c r="B12" t="s">
        <v>30</v>
      </c>
      <c r="C12" s="12">
        <v>45703</v>
      </c>
      <c r="E12" s="13" t="s">
        <v>23</v>
      </c>
      <c r="F12" s="14"/>
      <c r="G12" s="15" t="s">
        <v>16</v>
      </c>
      <c r="H12" t="s">
        <v>102</v>
      </c>
      <c r="I12" s="7">
        <f>BillData[[#This Row],[Bill Date]]+30</f>
        <v>45733</v>
      </c>
      <c r="J12" s="17">
        <v>1450</v>
      </c>
      <c r="K12" s="7">
        <f>BillData[[#This Row],[Due Date]]</f>
        <v>45733</v>
      </c>
      <c r="L12" s="10"/>
      <c r="M12" s="9">
        <f>BillData[[#This Row],[Bill Amount]]-BillData[[#This Row],[Paid Amount]]</f>
        <v>1450</v>
      </c>
      <c r="P12" s="12"/>
      <c r="U12" t="s">
        <v>94</v>
      </c>
      <c r="V12" t="s">
        <v>95</v>
      </c>
    </row>
    <row r="13" spans="1:23" x14ac:dyDescent="0.25">
      <c r="A13" s="11">
        <v>10</v>
      </c>
      <c r="B13" t="s">
        <v>31</v>
      </c>
      <c r="C13" s="12">
        <v>45705</v>
      </c>
      <c r="E13" s="13" t="s">
        <v>27</v>
      </c>
      <c r="F13" s="14"/>
      <c r="G13" s="15" t="s">
        <v>16</v>
      </c>
      <c r="H13" t="s">
        <v>104</v>
      </c>
      <c r="I13" s="7">
        <f>BillData[[#This Row],[Bill Date]]+30</f>
        <v>45735</v>
      </c>
      <c r="J13" s="17">
        <v>2151</v>
      </c>
      <c r="K13" s="12"/>
      <c r="L13" s="10"/>
      <c r="M13" s="9">
        <f>BillData[[#This Row],[Bill Amount]]-BillData[[#This Row],[Paid Amount]]</f>
        <v>2151</v>
      </c>
      <c r="P13" s="12"/>
      <c r="U13" t="s">
        <v>96</v>
      </c>
      <c r="V13" t="s">
        <v>97</v>
      </c>
    </row>
    <row r="14" spans="1:23" x14ac:dyDescent="0.25">
      <c r="A14" s="11">
        <v>11</v>
      </c>
      <c r="B14" t="s">
        <v>22</v>
      </c>
      <c r="C14" s="12">
        <v>45707</v>
      </c>
      <c r="E14" s="13" t="s">
        <v>14</v>
      </c>
      <c r="F14" s="14"/>
      <c r="G14" s="15" t="s">
        <v>16</v>
      </c>
      <c r="H14" t="s">
        <v>86</v>
      </c>
      <c r="I14" s="7">
        <f>BillData[[#This Row],[Bill Date]]+30</f>
        <v>45737</v>
      </c>
      <c r="J14" s="17">
        <v>4300</v>
      </c>
      <c r="K14" s="12"/>
      <c r="L14" s="10"/>
      <c r="M14" s="9">
        <f>BillData[[#This Row],[Bill Amount]]-BillData[[#This Row],[Paid Amount]]</f>
        <v>4300</v>
      </c>
      <c r="P14" s="12"/>
      <c r="U14" t="s">
        <v>98</v>
      </c>
      <c r="V14" t="s">
        <v>99</v>
      </c>
    </row>
    <row r="15" spans="1:23" x14ac:dyDescent="0.25">
      <c r="A15" s="11">
        <v>12</v>
      </c>
      <c r="B15" t="s">
        <v>13</v>
      </c>
      <c r="C15" s="12">
        <v>45709</v>
      </c>
      <c r="E15" s="13" t="s">
        <v>32</v>
      </c>
      <c r="F15" s="14"/>
      <c r="G15" s="15" t="s">
        <v>28</v>
      </c>
      <c r="H15" t="s">
        <v>88</v>
      </c>
      <c r="I15" s="7">
        <f>BillData[[#This Row],[Bill Date]]+30</f>
        <v>45739</v>
      </c>
      <c r="J15" s="17">
        <v>1200</v>
      </c>
      <c r="K15" s="7">
        <f>BillData[[#This Row],[Due Date]]</f>
        <v>45739</v>
      </c>
      <c r="L15" s="10">
        <v>200</v>
      </c>
      <c r="M15" s="9">
        <f>BillData[[#This Row],[Bill Amount]]-BillData[[#This Row],[Paid Amount]]</f>
        <v>1000</v>
      </c>
      <c r="P15" s="12"/>
      <c r="U15" t="s">
        <v>100</v>
      </c>
      <c r="V15" t="s">
        <v>101</v>
      </c>
    </row>
    <row r="16" spans="1:23" x14ac:dyDescent="0.25">
      <c r="A16" s="11">
        <v>13</v>
      </c>
      <c r="B16" t="s">
        <v>33</v>
      </c>
      <c r="C16" s="12">
        <v>45711</v>
      </c>
      <c r="E16" s="13" t="s">
        <v>23</v>
      </c>
      <c r="F16" s="14"/>
      <c r="G16" s="15" t="s">
        <v>16</v>
      </c>
      <c r="H16" t="s">
        <v>90</v>
      </c>
      <c r="I16" s="7">
        <f>BillData[[#This Row],[Bill Date]]+30</f>
        <v>45741</v>
      </c>
      <c r="J16" s="17">
        <v>245</v>
      </c>
      <c r="K16" s="7">
        <f>BillData[[#This Row],[Due Date]]</f>
        <v>45741</v>
      </c>
      <c r="L16" s="10"/>
      <c r="M16" s="9">
        <f>BillData[[#This Row],[Bill Amount]]-BillData[[#This Row],[Paid Amount]]</f>
        <v>245</v>
      </c>
      <c r="P16" s="12"/>
      <c r="U16" t="s">
        <v>102</v>
      </c>
      <c r="V16" t="s">
        <v>103</v>
      </c>
    </row>
    <row r="17" spans="1:22" x14ac:dyDescent="0.25">
      <c r="A17" s="11">
        <v>14</v>
      </c>
      <c r="B17" t="s">
        <v>34</v>
      </c>
      <c r="C17" s="12">
        <v>45713</v>
      </c>
      <c r="E17" s="13" t="s">
        <v>27</v>
      </c>
      <c r="F17" s="14"/>
      <c r="G17" s="15" t="s">
        <v>20</v>
      </c>
      <c r="H17" t="s">
        <v>92</v>
      </c>
      <c r="I17" s="7">
        <f>BillData[[#This Row],[Bill Date]]+30</f>
        <v>45743</v>
      </c>
      <c r="J17" s="17">
        <v>2524</v>
      </c>
      <c r="K17" s="7">
        <f>BillData[[#This Row],[Due Date]]</f>
        <v>45743</v>
      </c>
      <c r="L17" s="10">
        <v>2524</v>
      </c>
      <c r="M17" s="9">
        <f>BillData[[#This Row],[Bill Amount]]-BillData[[#This Row],[Paid Amount]]</f>
        <v>0</v>
      </c>
      <c r="P17" s="12"/>
      <c r="U17" t="s">
        <v>104</v>
      </c>
      <c r="V17" t="s">
        <v>105</v>
      </c>
    </row>
    <row r="18" spans="1:22" x14ac:dyDescent="0.25">
      <c r="A18" s="11">
        <v>15</v>
      </c>
      <c r="B18" t="s">
        <v>26</v>
      </c>
      <c r="C18" s="12">
        <v>45715</v>
      </c>
      <c r="E18" s="13" t="s">
        <v>14</v>
      </c>
      <c r="F18" s="14"/>
      <c r="G18" s="15" t="s">
        <v>16</v>
      </c>
      <c r="H18" t="s">
        <v>94</v>
      </c>
      <c r="I18" s="7">
        <f>BillData[[#This Row],[Bill Date]]+30</f>
        <v>45745</v>
      </c>
      <c r="J18" s="17">
        <v>450</v>
      </c>
      <c r="K18" s="12"/>
      <c r="L18" s="10"/>
      <c r="M18" s="9">
        <f>BillData[[#This Row],[Bill Amount]]-BillData[[#This Row],[Paid Amount]]</f>
        <v>450</v>
      </c>
      <c r="P18" s="12"/>
    </row>
    <row r="19" spans="1:22" x14ac:dyDescent="0.25">
      <c r="A19" s="11">
        <v>16</v>
      </c>
      <c r="B19" t="s">
        <v>35</v>
      </c>
      <c r="C19" s="12">
        <v>45717</v>
      </c>
      <c r="E19" s="13" t="s">
        <v>32</v>
      </c>
      <c r="F19" s="14"/>
      <c r="G19" s="15" t="s">
        <v>16</v>
      </c>
      <c r="H19" t="s">
        <v>96</v>
      </c>
      <c r="I19" s="7">
        <f>BillData[[#This Row],[Bill Date]]+30</f>
        <v>45747</v>
      </c>
      <c r="J19" s="17">
        <v>451</v>
      </c>
      <c r="K19" s="12"/>
      <c r="L19" s="10">
        <v>200</v>
      </c>
      <c r="M19" s="9">
        <f>BillData[[#This Row],[Bill Amount]]-BillData[[#This Row],[Paid Amount]]</f>
        <v>251</v>
      </c>
      <c r="P19" s="12"/>
    </row>
    <row r="20" spans="1:22" x14ac:dyDescent="0.25">
      <c r="A20" s="11">
        <v>17</v>
      </c>
      <c r="B20" t="s">
        <v>36</v>
      </c>
      <c r="C20" s="12">
        <v>45719</v>
      </c>
      <c r="E20" s="13" t="s">
        <v>23</v>
      </c>
      <c r="F20" s="14"/>
      <c r="G20" s="15" t="s">
        <v>16</v>
      </c>
      <c r="H20" t="s">
        <v>98</v>
      </c>
      <c r="I20" s="7">
        <f>BillData[[#This Row],[Bill Date]]+30</f>
        <v>45749</v>
      </c>
      <c r="J20" s="17">
        <v>4010</v>
      </c>
      <c r="K20" s="12"/>
      <c r="L20" s="10">
        <v>4010</v>
      </c>
      <c r="M20" s="9">
        <f>BillData[[#This Row],[Bill Amount]]-BillData[[#This Row],[Paid Amount]]</f>
        <v>0</v>
      </c>
      <c r="P20" s="12"/>
    </row>
    <row r="21" spans="1:22" x14ac:dyDescent="0.25">
      <c r="A21" s="11">
        <v>18</v>
      </c>
      <c r="B21" t="s">
        <v>13</v>
      </c>
      <c r="C21" s="12">
        <v>45721</v>
      </c>
      <c r="E21" s="13" t="s">
        <v>14</v>
      </c>
      <c r="F21" s="14" t="s">
        <v>24</v>
      </c>
      <c r="G21" s="15" t="s">
        <v>37</v>
      </c>
      <c r="H21" t="s">
        <v>100</v>
      </c>
      <c r="I21" s="7">
        <f>BillData[[#This Row],[Bill Date]]+30</f>
        <v>45751</v>
      </c>
      <c r="J21" s="16">
        <v>550</v>
      </c>
      <c r="K21" s="12"/>
      <c r="L21" s="10"/>
      <c r="M21" s="9">
        <f>BillData[[#This Row],[Bill Amount]]-BillData[[#This Row],[Paid Amount]]</f>
        <v>550</v>
      </c>
      <c r="N21" t="s">
        <v>21</v>
      </c>
      <c r="P21" s="12"/>
    </row>
    <row r="22" spans="1:22" x14ac:dyDescent="0.25">
      <c r="A22" s="11">
        <v>19</v>
      </c>
      <c r="B22" t="s">
        <v>22</v>
      </c>
      <c r="C22" s="12">
        <v>45723</v>
      </c>
      <c r="E22" s="13" t="s">
        <v>14</v>
      </c>
      <c r="F22" s="14"/>
      <c r="G22" s="15" t="s">
        <v>28</v>
      </c>
      <c r="H22" t="s">
        <v>102</v>
      </c>
      <c r="I22" s="7">
        <f>BillData[[#This Row],[Bill Date]]+30</f>
        <v>45753</v>
      </c>
      <c r="J22" s="16">
        <v>550</v>
      </c>
      <c r="K22" s="12"/>
      <c r="L22" s="10"/>
      <c r="M22" s="9">
        <f>BillData[[#This Row],[Bill Amount]]-BillData[[#This Row],[Paid Amount]]</f>
        <v>550</v>
      </c>
      <c r="P22" s="12"/>
    </row>
    <row r="23" spans="1:22" x14ac:dyDescent="0.25">
      <c r="A23" s="11">
        <v>20</v>
      </c>
      <c r="B23" t="s">
        <v>34</v>
      </c>
      <c r="C23" s="12">
        <v>45725</v>
      </c>
      <c r="D23" t="s">
        <v>17</v>
      </c>
      <c r="E23" s="13" t="s">
        <v>14</v>
      </c>
      <c r="F23" s="14" t="s">
        <v>15</v>
      </c>
      <c r="G23" s="15" t="s">
        <v>16</v>
      </c>
      <c r="H23" t="s">
        <v>104</v>
      </c>
      <c r="I23" s="7">
        <f>BillData[[#This Row],[Bill Date]]+30</f>
        <v>45755</v>
      </c>
      <c r="J23" s="16">
        <v>500</v>
      </c>
      <c r="K23" s="12"/>
      <c r="L23" s="10"/>
      <c r="M23" s="9">
        <f>BillData[[#This Row],[Bill Amount]]-BillData[[#This Row],[Paid Amount]]</f>
        <v>500</v>
      </c>
      <c r="N23" t="s">
        <v>38</v>
      </c>
      <c r="P23" s="12"/>
    </row>
    <row r="24" spans="1:22" x14ac:dyDescent="0.25">
      <c r="A24" s="11">
        <v>21</v>
      </c>
      <c r="B24" t="s">
        <v>31</v>
      </c>
      <c r="C24" s="12">
        <v>45727</v>
      </c>
      <c r="E24" s="13" t="s">
        <v>27</v>
      </c>
      <c r="F24" s="14"/>
      <c r="G24" s="15" t="s">
        <v>16</v>
      </c>
      <c r="H24" t="s">
        <v>100</v>
      </c>
      <c r="I24" s="7">
        <f>BillData[[#This Row],[Bill Date]]+30</f>
        <v>45757</v>
      </c>
      <c r="J24" s="17">
        <v>1584.07142857143</v>
      </c>
      <c r="K24" s="12"/>
      <c r="L24" s="10"/>
      <c r="M24" s="9">
        <f>BillData[[#This Row],[Bill Amount]]-BillData[[#This Row],[Paid Amount]]</f>
        <v>1584.07142857143</v>
      </c>
    </row>
    <row r="25" spans="1:22" x14ac:dyDescent="0.25">
      <c r="A25" s="11">
        <v>22</v>
      </c>
      <c r="B25" t="s">
        <v>22</v>
      </c>
      <c r="C25" s="12">
        <v>45729</v>
      </c>
      <c r="E25" s="13" t="s">
        <v>14</v>
      </c>
      <c r="F25" s="14"/>
      <c r="G25" s="15" t="s">
        <v>16</v>
      </c>
      <c r="H25" t="s">
        <v>102</v>
      </c>
      <c r="I25" s="7">
        <f>BillData[[#This Row],[Bill Date]]+30</f>
        <v>45759</v>
      </c>
      <c r="J25" s="17">
        <v>1510.2261904761899</v>
      </c>
      <c r="K25" s="12"/>
      <c r="L25" s="10"/>
      <c r="M25" s="9">
        <f>BillData[[#This Row],[Bill Amount]]-BillData[[#This Row],[Paid Amount]]</f>
        <v>1510.2261904761899</v>
      </c>
    </row>
    <row r="26" spans="1:22" x14ac:dyDescent="0.25">
      <c r="A26" s="11">
        <v>23</v>
      </c>
      <c r="B26" t="s">
        <v>13</v>
      </c>
      <c r="C26" s="12">
        <v>45731</v>
      </c>
      <c r="E26" s="13" t="s">
        <v>32</v>
      </c>
      <c r="F26" s="14"/>
      <c r="G26" s="15" t="s">
        <v>28</v>
      </c>
      <c r="H26" t="s">
        <v>104</v>
      </c>
      <c r="I26" s="7">
        <f>BillData[[#This Row],[Bill Date]]+30</f>
        <v>45761</v>
      </c>
      <c r="J26" s="17">
        <v>1436.38095238095</v>
      </c>
      <c r="K26" s="7">
        <f>BillData[[#This Row],[Due Date]]</f>
        <v>45761</v>
      </c>
      <c r="L26" s="10">
        <f>BillData[[#This Row],[Bill Amount]]</f>
        <v>1436.38095238095</v>
      </c>
      <c r="M26" s="9">
        <f>BillData[[#This Row],[Bill Amount]]-BillData[[#This Row],[Paid Amount]]</f>
        <v>0</v>
      </c>
    </row>
    <row r="27" spans="1:22" x14ac:dyDescent="0.25">
      <c r="A27" s="11">
        <v>24</v>
      </c>
      <c r="B27" t="s">
        <v>33</v>
      </c>
      <c r="C27" s="12">
        <v>45733</v>
      </c>
      <c r="E27" s="13" t="s">
        <v>23</v>
      </c>
      <c r="F27" s="14"/>
      <c r="G27" s="15" t="s">
        <v>16</v>
      </c>
      <c r="H27" t="s">
        <v>86</v>
      </c>
      <c r="I27" s="7">
        <f>BillData[[#This Row],[Bill Date]]+30</f>
        <v>45763</v>
      </c>
      <c r="J27" s="17">
        <v>1362.5357142857099</v>
      </c>
      <c r="K27" s="7">
        <f>BillData[[#This Row],[Due Date]]</f>
        <v>45763</v>
      </c>
      <c r="L27" s="10">
        <f>BillData[[#This Row],[Bill Amount]]</f>
        <v>1362.5357142857099</v>
      </c>
      <c r="M27" s="10">
        <f>BillData[[#This Row],[Bill Amount]]-BillData[[#This Row],[Paid Amount]]</f>
        <v>0</v>
      </c>
    </row>
    <row r="28" spans="1:22" x14ac:dyDescent="0.25">
      <c r="A28" s="11">
        <v>25</v>
      </c>
      <c r="B28" t="s">
        <v>34</v>
      </c>
      <c r="C28" s="12">
        <v>45735</v>
      </c>
      <c r="E28" s="13" t="s">
        <v>27</v>
      </c>
      <c r="F28" s="14"/>
      <c r="G28" s="15" t="s">
        <v>20</v>
      </c>
      <c r="H28" t="s">
        <v>88</v>
      </c>
      <c r="I28" s="7">
        <f>BillData[[#This Row],[Bill Date]]+30</f>
        <v>45765</v>
      </c>
      <c r="J28" s="17">
        <v>1288.69047619048</v>
      </c>
      <c r="K28" s="7">
        <f>BillData[[#This Row],[Due Date]]</f>
        <v>45765</v>
      </c>
      <c r="L28" s="10">
        <f>BillData[[#This Row],[Bill Amount]]</f>
        <v>1288.69047619048</v>
      </c>
      <c r="M28" s="9">
        <f>BillData[[#This Row],[Bill Amount]]-BillData[[#This Row],[Paid Amount]]</f>
        <v>0</v>
      </c>
    </row>
    <row r="29" spans="1:22" x14ac:dyDescent="0.25">
      <c r="A29" s="11">
        <v>26</v>
      </c>
      <c r="B29" t="s">
        <v>26</v>
      </c>
      <c r="C29" s="12">
        <v>45737</v>
      </c>
      <c r="E29" s="13" t="s">
        <v>14</v>
      </c>
      <c r="F29" s="14"/>
      <c r="G29" s="15" t="s">
        <v>16</v>
      </c>
      <c r="H29" t="s">
        <v>90</v>
      </c>
      <c r="I29" s="7">
        <f>BillData[[#This Row],[Bill Date]]+30</f>
        <v>45767</v>
      </c>
      <c r="J29" s="17">
        <v>1214.8452380952399</v>
      </c>
      <c r="K29" s="12"/>
      <c r="L29" s="10">
        <f>BillData[[#This Row],[Bill Amount]]</f>
        <v>1214.8452380952399</v>
      </c>
      <c r="M29" s="9">
        <f>BillData[[#This Row],[Bill Amount]]-BillData[[#This Row],[Paid Amount]]</f>
        <v>0</v>
      </c>
    </row>
    <row r="30" spans="1:22" x14ac:dyDescent="0.25">
      <c r="A30" s="11">
        <v>27</v>
      </c>
      <c r="B30" t="s">
        <v>35</v>
      </c>
      <c r="C30" s="12">
        <v>45739</v>
      </c>
      <c r="E30" s="13" t="s">
        <v>32</v>
      </c>
      <c r="F30" s="14"/>
      <c r="G30" s="15" t="s">
        <v>16</v>
      </c>
      <c r="H30" t="s">
        <v>92</v>
      </c>
      <c r="I30" s="7">
        <f>BillData[[#This Row],[Bill Date]]+30</f>
        <v>45769</v>
      </c>
      <c r="J30" s="17">
        <v>1141</v>
      </c>
      <c r="K30" s="12"/>
      <c r="L30" s="10">
        <f>BillData[[#This Row],[Bill Amount]]</f>
        <v>1141</v>
      </c>
      <c r="M30" s="9">
        <f>BillData[[#This Row],[Bill Amount]]-BillData[[#This Row],[Paid Amount]]</f>
        <v>0</v>
      </c>
    </row>
    <row r="31" spans="1:22" x14ac:dyDescent="0.25">
      <c r="A31" s="11">
        <v>28</v>
      </c>
      <c r="B31" t="s">
        <v>36</v>
      </c>
      <c r="C31" s="12">
        <v>45741</v>
      </c>
      <c r="E31" s="13" t="s">
        <v>23</v>
      </c>
      <c r="F31" s="14"/>
      <c r="G31" s="15" t="s">
        <v>16</v>
      </c>
      <c r="H31" t="s">
        <v>94</v>
      </c>
      <c r="I31" s="7">
        <f>BillData[[#This Row],[Bill Date]]+30</f>
        <v>45771</v>
      </c>
      <c r="J31" s="17">
        <v>1067.1547619047601</v>
      </c>
      <c r="K31" s="12"/>
      <c r="L31" s="10">
        <f>BillData[[#This Row],[Bill Amount]]</f>
        <v>1067.1547619047601</v>
      </c>
      <c r="M31" s="9">
        <f>BillData[[#This Row],[Bill Amount]]-BillData[[#This Row],[Paid Amount]]</f>
        <v>0</v>
      </c>
    </row>
    <row r="32" spans="1:22" x14ac:dyDescent="0.25">
      <c r="A32" s="11">
        <v>29</v>
      </c>
      <c r="B32" t="s">
        <v>13</v>
      </c>
      <c r="C32" s="12">
        <v>45743</v>
      </c>
      <c r="E32" s="13" t="s">
        <v>14</v>
      </c>
      <c r="F32" s="14" t="s">
        <v>24</v>
      </c>
      <c r="G32" s="15" t="s">
        <v>37</v>
      </c>
      <c r="H32" t="s">
        <v>96</v>
      </c>
      <c r="I32" s="7">
        <f>BillData[[#This Row],[Bill Date]]+30</f>
        <v>45773</v>
      </c>
      <c r="J32" s="16">
        <v>483.33333333333297</v>
      </c>
      <c r="K32" s="12"/>
      <c r="L32" s="10"/>
      <c r="M32" s="9">
        <f>BillData[[#This Row],[Bill Amount]]-BillData[[#This Row],[Paid Amount]]</f>
        <v>483.33333333333297</v>
      </c>
      <c r="N32" t="s">
        <v>21</v>
      </c>
    </row>
    <row r="33" spans="1:14" x14ac:dyDescent="0.25">
      <c r="A33" s="11">
        <v>30</v>
      </c>
      <c r="B33" t="s">
        <v>22</v>
      </c>
      <c r="C33" s="12">
        <v>45745</v>
      </c>
      <c r="E33" s="13" t="s">
        <v>14</v>
      </c>
      <c r="F33" s="14"/>
      <c r="G33" s="15" t="s">
        <v>28</v>
      </c>
      <c r="H33" t="s">
        <v>100</v>
      </c>
      <c r="I33" s="7">
        <f>BillData[[#This Row],[Bill Date]]+30</f>
        <v>45775</v>
      </c>
      <c r="J33" s="16">
        <v>458.33333333333297</v>
      </c>
      <c r="K33" s="12"/>
      <c r="L33" s="10"/>
      <c r="M33" s="9">
        <f>BillData[[#This Row],[Bill Amount]]-BillData[[#This Row],[Paid Amount]]</f>
        <v>458.33333333333297</v>
      </c>
    </row>
    <row r="34" spans="1:14" x14ac:dyDescent="0.25">
      <c r="A34" s="11">
        <v>31</v>
      </c>
      <c r="B34" t="s">
        <v>34</v>
      </c>
      <c r="C34" s="12">
        <v>45747</v>
      </c>
      <c r="D34" t="s">
        <v>17</v>
      </c>
      <c r="E34" s="13" t="s">
        <v>14</v>
      </c>
      <c r="F34" s="14" t="s">
        <v>15</v>
      </c>
      <c r="G34" s="15" t="s">
        <v>16</v>
      </c>
      <c r="H34" t="s">
        <v>102</v>
      </c>
      <c r="I34" s="7">
        <f>BillData[[#This Row],[Bill Date]]+30</f>
        <v>45777</v>
      </c>
      <c r="J34" s="16">
        <v>433.33333333333297</v>
      </c>
      <c r="K34" s="12"/>
      <c r="L34" s="10"/>
      <c r="M34" s="9">
        <f>BillData[[#This Row],[Bill Amount]]-BillData[[#This Row],[Paid Amount]]</f>
        <v>433.33333333333297</v>
      </c>
      <c r="N34" t="s">
        <v>38</v>
      </c>
    </row>
    <row r="35" spans="1:14" x14ac:dyDescent="0.25">
      <c r="A35" s="11">
        <v>32</v>
      </c>
      <c r="B35" t="s">
        <v>31</v>
      </c>
      <c r="C35" s="12">
        <v>45749</v>
      </c>
      <c r="E35" s="13" t="s">
        <v>27</v>
      </c>
      <c r="F35" s="14"/>
      <c r="G35" s="15" t="s">
        <v>16</v>
      </c>
      <c r="H35" t="s">
        <v>104</v>
      </c>
      <c r="I35" s="7">
        <f>BillData[[#This Row],[Bill Date]]+30</f>
        <v>45779</v>
      </c>
      <c r="J35" s="17">
        <v>993.30952380952294</v>
      </c>
      <c r="K35" s="12"/>
      <c r="L35" s="10"/>
      <c r="M35" s="9">
        <f>BillData[[#This Row],[Bill Amount]]-BillData[[#This Row],[Paid Amount]]</f>
        <v>993.30952380952294</v>
      </c>
    </row>
    <row r="36" spans="1:14" x14ac:dyDescent="0.25">
      <c r="A36" s="11">
        <v>33</v>
      </c>
      <c r="B36" t="s">
        <v>22</v>
      </c>
      <c r="C36" s="12">
        <v>45751</v>
      </c>
      <c r="E36" s="13" t="s">
        <v>14</v>
      </c>
      <c r="F36" s="14"/>
      <c r="G36" s="15" t="s">
        <v>16</v>
      </c>
      <c r="H36" t="s">
        <v>86</v>
      </c>
      <c r="I36" s="7">
        <f>BillData[[#This Row],[Bill Date]]+30</f>
        <v>45781</v>
      </c>
      <c r="J36" s="17">
        <v>919.46428571428396</v>
      </c>
      <c r="K36" s="12"/>
      <c r="L36" s="10"/>
      <c r="M36" s="9">
        <f>BillData[[#This Row],[Bill Amount]]-BillData[[#This Row],[Paid Amount]]</f>
        <v>919.46428571428396</v>
      </c>
    </row>
    <row r="37" spans="1:14" x14ac:dyDescent="0.25">
      <c r="A37" s="11">
        <v>34</v>
      </c>
      <c r="B37" t="s">
        <v>13</v>
      </c>
      <c r="C37" s="12">
        <v>45753</v>
      </c>
      <c r="E37" s="13" t="s">
        <v>32</v>
      </c>
      <c r="F37" s="14"/>
      <c r="G37" s="15" t="s">
        <v>28</v>
      </c>
      <c r="H37" t="s">
        <v>88</v>
      </c>
      <c r="I37" s="7">
        <f>BillData[[#This Row],[Bill Date]]+30</f>
        <v>45783</v>
      </c>
      <c r="J37" s="17">
        <v>845.61904761904304</v>
      </c>
      <c r="K37" s="7">
        <f>BillData[[#This Row],[Due Date]]</f>
        <v>45783</v>
      </c>
      <c r="L37" s="10">
        <f>BillData[[#This Row],[Bill Amount]]</f>
        <v>845.61904761904304</v>
      </c>
      <c r="M37" s="9">
        <f>BillData[[#This Row],[Bill Amount]]-BillData[[#This Row],[Paid Amount]]</f>
        <v>0</v>
      </c>
    </row>
    <row r="38" spans="1:14" x14ac:dyDescent="0.25">
      <c r="A38" s="11">
        <v>35</v>
      </c>
      <c r="B38" t="s">
        <v>33</v>
      </c>
      <c r="C38" s="12">
        <v>45755</v>
      </c>
      <c r="E38" s="13" t="s">
        <v>23</v>
      </c>
      <c r="F38" s="14"/>
      <c r="G38" s="15" t="s">
        <v>16</v>
      </c>
      <c r="H38" t="s">
        <v>90</v>
      </c>
      <c r="I38" s="7">
        <f>BillData[[#This Row],[Bill Date]]+30</f>
        <v>45785</v>
      </c>
      <c r="J38" s="17">
        <v>771.77380952381304</v>
      </c>
      <c r="K38" s="7">
        <f>BillData[[#This Row],[Due Date]]</f>
        <v>45785</v>
      </c>
      <c r="L38" s="10">
        <f>BillData[[#This Row],[Bill Amount]]</f>
        <v>771.77380952381304</v>
      </c>
      <c r="M38" s="9">
        <f>BillData[[#This Row],[Bill Amount]]-BillData[[#This Row],[Paid Amount]]</f>
        <v>0</v>
      </c>
    </row>
    <row r="39" spans="1:14" x14ac:dyDescent="0.25">
      <c r="A39" s="11">
        <v>36</v>
      </c>
      <c r="B39" t="s">
        <v>34</v>
      </c>
      <c r="C39" s="12">
        <v>45757</v>
      </c>
      <c r="E39" s="13" t="s">
        <v>27</v>
      </c>
      <c r="F39" s="14"/>
      <c r="G39" s="15" t="s">
        <v>20</v>
      </c>
      <c r="H39" t="s">
        <v>92</v>
      </c>
      <c r="I39" s="7">
        <f>BillData[[#This Row],[Bill Date]]+30</f>
        <v>45787</v>
      </c>
      <c r="J39" s="17">
        <v>697.92857142857304</v>
      </c>
      <c r="K39" s="7">
        <f>BillData[[#This Row],[Due Date]]</f>
        <v>45787</v>
      </c>
      <c r="L39" s="10">
        <f>BillData[[#This Row],[Bill Amount]]</f>
        <v>697.92857142857304</v>
      </c>
      <c r="M39" s="9">
        <f>BillData[[#This Row],[Bill Amount]]-BillData[[#This Row],[Paid Amount]]</f>
        <v>0</v>
      </c>
    </row>
    <row r="40" spans="1:14" x14ac:dyDescent="0.25">
      <c r="A40" s="11">
        <v>37</v>
      </c>
      <c r="B40" t="s">
        <v>26</v>
      </c>
      <c r="C40" s="12">
        <v>45759</v>
      </c>
      <c r="E40" s="13" t="s">
        <v>14</v>
      </c>
      <c r="F40" s="14"/>
      <c r="G40" s="15" t="s">
        <v>16</v>
      </c>
      <c r="H40" t="s">
        <v>94</v>
      </c>
      <c r="I40" s="7">
        <f>BillData[[#This Row],[Bill Date]]+30</f>
        <v>45789</v>
      </c>
      <c r="J40" s="17">
        <v>624.08333333333303</v>
      </c>
      <c r="K40" s="12"/>
      <c r="L40" s="10">
        <f>BillData[[#This Row],[Bill Amount]]</f>
        <v>624.08333333333303</v>
      </c>
      <c r="M40" s="9">
        <f>BillData[[#This Row],[Bill Amount]]-BillData[[#This Row],[Paid Amount]]</f>
        <v>0</v>
      </c>
    </row>
    <row r="41" spans="1:14" x14ac:dyDescent="0.25">
      <c r="A41" s="11">
        <v>38</v>
      </c>
      <c r="B41" t="s">
        <v>35</v>
      </c>
      <c r="C41" s="12">
        <v>45761</v>
      </c>
      <c r="E41" s="13" t="s">
        <v>32</v>
      </c>
      <c r="F41" s="14"/>
      <c r="G41" s="15" t="s">
        <v>16</v>
      </c>
      <c r="H41" t="s">
        <v>96</v>
      </c>
      <c r="I41" s="7">
        <f>BillData[[#This Row],[Bill Date]]+30</f>
        <v>45791</v>
      </c>
      <c r="J41" s="17">
        <v>550.23809523809405</v>
      </c>
      <c r="K41" s="12"/>
      <c r="L41" s="10">
        <f>BillData[[#This Row],[Bill Amount]]</f>
        <v>550.23809523809405</v>
      </c>
      <c r="M41" s="9">
        <f>BillData[[#This Row],[Bill Amount]]-BillData[[#This Row],[Paid Amount]]</f>
        <v>0</v>
      </c>
    </row>
  </sheetData>
  <mergeCells count="1">
    <mergeCell ref="A1:N2"/>
  </mergeCells>
  <phoneticPr fontId="6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8E5C2-6F1F-45D6-9D79-363528FE3936}">
  <sheetPr codeName="Sheet4"/>
  <dimension ref="A1:K29"/>
  <sheetViews>
    <sheetView workbookViewId="0">
      <selection activeCell="H10" sqref="H10"/>
    </sheetView>
  </sheetViews>
  <sheetFormatPr defaultRowHeight="15" x14ac:dyDescent="0.25"/>
  <cols>
    <col min="2" max="2" width="9.140625" style="12" bestFit="1" customWidth="1"/>
    <col min="3" max="3" width="14.7109375" bestFit="1" customWidth="1"/>
    <col min="4" max="4" width="11.28515625" bestFit="1" customWidth="1"/>
    <col min="6" max="6" width="10.28515625" style="12" customWidth="1"/>
    <col min="7" max="7" width="10.5703125" style="20" bestFit="1" customWidth="1"/>
    <col min="8" max="8" width="13.85546875" style="20" bestFit="1" customWidth="1"/>
    <col min="9" max="9" width="11" style="20" customWidth="1"/>
    <col min="10" max="10" width="9.7109375" style="20" bestFit="1" customWidth="1"/>
    <col min="11" max="11" width="14.28515625" customWidth="1"/>
  </cols>
  <sheetData>
    <row r="1" spans="1:11" x14ac:dyDescent="0.25">
      <c r="A1" s="60" t="s">
        <v>46</v>
      </c>
      <c r="B1" s="60"/>
      <c r="C1" s="60"/>
      <c r="D1" s="60"/>
      <c r="E1" s="60"/>
      <c r="F1" s="60"/>
      <c r="G1" s="60"/>
      <c r="H1" s="60"/>
      <c r="I1" s="60"/>
      <c r="J1" s="60"/>
      <c r="K1" s="60"/>
    </row>
    <row r="2" spans="1:11" x14ac:dyDescent="0.25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</row>
    <row r="3" spans="1:11" x14ac:dyDescent="0.25">
      <c r="A3" s="18" t="s">
        <v>39</v>
      </c>
      <c r="B3" s="27" t="s">
        <v>40</v>
      </c>
      <c r="C3" s="18" t="s">
        <v>41</v>
      </c>
      <c r="D3" s="18" t="s">
        <v>3</v>
      </c>
      <c r="E3" s="18" t="s">
        <v>5</v>
      </c>
      <c r="F3" s="27" t="s">
        <v>6</v>
      </c>
      <c r="G3" s="28" t="s">
        <v>42</v>
      </c>
      <c r="H3" s="29" t="s">
        <v>62</v>
      </c>
      <c r="I3" s="29" t="s">
        <v>43</v>
      </c>
      <c r="J3" s="29" t="s">
        <v>44</v>
      </c>
      <c r="K3" s="19" t="s">
        <v>45</v>
      </c>
    </row>
    <row r="4" spans="1:11" x14ac:dyDescent="0.25">
      <c r="A4">
        <v>1</v>
      </c>
      <c r="B4" s="12">
        <v>45658</v>
      </c>
      <c r="C4" t="s">
        <v>18</v>
      </c>
      <c r="D4" t="s">
        <v>51</v>
      </c>
      <c r="E4" t="s">
        <v>28</v>
      </c>
      <c r="F4" s="12">
        <v>45661</v>
      </c>
      <c r="G4" s="20">
        <v>500.5</v>
      </c>
      <c r="H4" s="35">
        <v>45672</v>
      </c>
      <c r="I4" s="20">
        <f>450</f>
        <v>450</v>
      </c>
      <c r="J4" s="20">
        <f t="shared" ref="J4:J27" si="0">IFERROR(G4-I4,"")</f>
        <v>50.5</v>
      </c>
      <c r="K4">
        <f ca="1">IF(AND(I4&lt;G4,TODAY()&gt;F4),TODAY()-F4,"")</f>
        <v>248</v>
      </c>
    </row>
    <row r="5" spans="1:11" x14ac:dyDescent="0.25">
      <c r="A5">
        <v>2</v>
      </c>
      <c r="B5" s="12">
        <f>B4+5</f>
        <v>45663</v>
      </c>
      <c r="C5" t="s">
        <v>29</v>
      </c>
      <c r="D5" t="s">
        <v>49</v>
      </c>
      <c r="E5" t="s">
        <v>28</v>
      </c>
      <c r="F5" s="12">
        <v>45665</v>
      </c>
      <c r="G5" s="20">
        <v>440</v>
      </c>
      <c r="I5" s="20">
        <v>0</v>
      </c>
      <c r="J5" s="20">
        <f t="shared" si="0"/>
        <v>440</v>
      </c>
      <c r="K5">
        <f ca="1">IF(AND(I5&lt;G5,TODAY()&gt;F5),TODAY()-F5,"")</f>
        <v>244</v>
      </c>
    </row>
    <row r="6" spans="1:11" x14ac:dyDescent="0.25">
      <c r="A6">
        <v>3</v>
      </c>
      <c r="B6" s="12">
        <f t="shared" ref="B6:B12" si="1">B5+5</f>
        <v>45668</v>
      </c>
      <c r="C6" t="s">
        <v>30</v>
      </c>
      <c r="D6" t="s">
        <v>14</v>
      </c>
      <c r="E6" t="s">
        <v>28</v>
      </c>
      <c r="F6" s="12">
        <v>45673</v>
      </c>
      <c r="G6" s="20">
        <v>335.5</v>
      </c>
      <c r="I6" s="20">
        <v>0</v>
      </c>
      <c r="J6" s="20">
        <f t="shared" si="0"/>
        <v>335.5</v>
      </c>
      <c r="K6">
        <f t="shared" ref="K6:K14" ca="1" si="2">IF(AND(I6&lt;G6,TODAY()&gt;F6),TODAY()-F6,"")</f>
        <v>236</v>
      </c>
    </row>
    <row r="7" spans="1:11" x14ac:dyDescent="0.25">
      <c r="A7">
        <v>4</v>
      </c>
      <c r="B7" s="12">
        <f t="shared" si="1"/>
        <v>45673</v>
      </c>
      <c r="C7" t="s">
        <v>50</v>
      </c>
      <c r="D7" t="s">
        <v>51</v>
      </c>
      <c r="E7" t="s">
        <v>28</v>
      </c>
      <c r="F7" s="12">
        <v>45672</v>
      </c>
      <c r="G7" s="20">
        <v>137.5</v>
      </c>
      <c r="H7" s="35">
        <f>InvoiceData[[#This Row],[Due Date]]</f>
        <v>45672</v>
      </c>
      <c r="I7" s="20">
        <v>100</v>
      </c>
      <c r="J7" s="20">
        <f t="shared" si="0"/>
        <v>37.5</v>
      </c>
      <c r="K7">
        <f t="shared" ca="1" si="2"/>
        <v>237</v>
      </c>
    </row>
    <row r="8" spans="1:11" x14ac:dyDescent="0.25">
      <c r="A8">
        <v>5</v>
      </c>
      <c r="B8" s="12">
        <f t="shared" si="1"/>
        <v>45678</v>
      </c>
      <c r="C8" t="s">
        <v>18</v>
      </c>
      <c r="D8" t="s">
        <v>51</v>
      </c>
      <c r="E8" t="s">
        <v>16</v>
      </c>
      <c r="F8" s="12">
        <f>InvoiceData[[#This Row],[Date]]+30</f>
        <v>45708</v>
      </c>
      <c r="G8" s="20">
        <v>264</v>
      </c>
      <c r="H8" s="35">
        <f>InvoiceData[[#This Row],[Due Date]]</f>
        <v>45708</v>
      </c>
      <c r="I8" s="20">
        <v>200</v>
      </c>
      <c r="J8" s="20">
        <f t="shared" si="0"/>
        <v>64</v>
      </c>
      <c r="K8">
        <f t="shared" ca="1" si="2"/>
        <v>201</v>
      </c>
    </row>
    <row r="9" spans="1:11" x14ac:dyDescent="0.25">
      <c r="A9">
        <v>6</v>
      </c>
      <c r="B9" s="12">
        <f t="shared" si="1"/>
        <v>45683</v>
      </c>
      <c r="C9" t="s">
        <v>36</v>
      </c>
      <c r="D9" t="s">
        <v>52</v>
      </c>
      <c r="E9" t="s">
        <v>16</v>
      </c>
      <c r="F9" s="12">
        <f>InvoiceData[[#This Row],[Date]]+30</f>
        <v>45713</v>
      </c>
      <c r="G9" s="20">
        <v>88</v>
      </c>
      <c r="H9" s="35">
        <f>InvoiceData[[#This Row],[Due Date]]</f>
        <v>45713</v>
      </c>
      <c r="I9" s="20">
        <v>88</v>
      </c>
      <c r="J9" s="20">
        <f t="shared" si="0"/>
        <v>0</v>
      </c>
      <c r="K9" t="str">
        <f t="shared" ca="1" si="2"/>
        <v/>
      </c>
    </row>
    <row r="10" spans="1:11" x14ac:dyDescent="0.25">
      <c r="A10">
        <v>7</v>
      </c>
      <c r="B10" s="12">
        <f t="shared" si="1"/>
        <v>45688</v>
      </c>
      <c r="C10" t="s">
        <v>50</v>
      </c>
      <c r="D10" t="s">
        <v>49</v>
      </c>
      <c r="E10" t="s">
        <v>16</v>
      </c>
      <c r="F10" s="12">
        <f>InvoiceData[[#This Row],[Date]]+30</f>
        <v>45718</v>
      </c>
      <c r="G10" s="20">
        <v>837</v>
      </c>
      <c r="I10" s="20">
        <v>0</v>
      </c>
      <c r="J10" s="20">
        <f t="shared" si="0"/>
        <v>837</v>
      </c>
      <c r="K10">
        <f t="shared" ca="1" si="2"/>
        <v>191</v>
      </c>
    </row>
    <row r="11" spans="1:11" x14ac:dyDescent="0.25">
      <c r="A11">
        <v>8</v>
      </c>
      <c r="B11" s="12">
        <f t="shared" si="1"/>
        <v>45693</v>
      </c>
      <c r="C11" t="s">
        <v>29</v>
      </c>
      <c r="D11" t="s">
        <v>52</v>
      </c>
      <c r="E11" t="s">
        <v>16</v>
      </c>
      <c r="F11" s="12">
        <f>InvoiceData[[#This Row],[Date]]+30</f>
        <v>45723</v>
      </c>
      <c r="G11" s="20">
        <v>691</v>
      </c>
      <c r="I11" s="20">
        <v>0</v>
      </c>
      <c r="J11" s="20">
        <f t="shared" si="0"/>
        <v>691</v>
      </c>
      <c r="K11">
        <f t="shared" ca="1" si="2"/>
        <v>186</v>
      </c>
    </row>
    <row r="12" spans="1:11" x14ac:dyDescent="0.25">
      <c r="A12">
        <v>9</v>
      </c>
      <c r="B12" s="12">
        <f t="shared" si="1"/>
        <v>45698</v>
      </c>
      <c r="C12" t="s">
        <v>30</v>
      </c>
      <c r="D12" t="s">
        <v>49</v>
      </c>
      <c r="E12" t="s">
        <v>16</v>
      </c>
      <c r="F12" s="12">
        <f>InvoiceData[[#This Row],[Date]]+30</f>
        <v>45728</v>
      </c>
      <c r="G12" s="20">
        <v>447</v>
      </c>
      <c r="I12" s="20">
        <v>0</v>
      </c>
      <c r="J12" s="20">
        <f t="shared" si="0"/>
        <v>447</v>
      </c>
      <c r="K12">
        <f t="shared" ca="1" si="2"/>
        <v>181</v>
      </c>
    </row>
    <row r="13" spans="1:11" x14ac:dyDescent="0.25">
      <c r="A13">
        <v>10</v>
      </c>
      <c r="B13" s="12">
        <f>B12+10</f>
        <v>45708</v>
      </c>
      <c r="C13" t="s">
        <v>18</v>
      </c>
      <c r="D13" t="s">
        <v>51</v>
      </c>
      <c r="E13" t="s">
        <v>28</v>
      </c>
      <c r="F13" s="12">
        <f>InvoiceData[[#This Row],[Date]]+30</f>
        <v>45738</v>
      </c>
      <c r="G13" s="20">
        <v>257</v>
      </c>
      <c r="H13" s="35">
        <f>InvoiceData[[#This Row],[Due Date]]</f>
        <v>45738</v>
      </c>
      <c r="I13" s="20">
        <f>450</f>
        <v>450</v>
      </c>
      <c r="J13" s="20">
        <f t="shared" si="0"/>
        <v>-193</v>
      </c>
      <c r="K13" t="str">
        <f t="shared" ca="1" si="2"/>
        <v/>
      </c>
    </row>
    <row r="14" spans="1:11" x14ac:dyDescent="0.25">
      <c r="A14">
        <v>11</v>
      </c>
      <c r="B14" s="12">
        <f t="shared" ref="B14:B28" si="3">B13+10</f>
        <v>45718</v>
      </c>
      <c r="C14" t="s">
        <v>29</v>
      </c>
      <c r="D14" t="s">
        <v>49</v>
      </c>
      <c r="E14" t="s">
        <v>28</v>
      </c>
      <c r="F14" s="12">
        <f>InvoiceData[[#This Row],[Date]]+30</f>
        <v>45748</v>
      </c>
      <c r="G14" s="20">
        <v>676</v>
      </c>
      <c r="I14" s="20">
        <v>0</v>
      </c>
      <c r="J14" s="20">
        <f t="shared" si="0"/>
        <v>676</v>
      </c>
      <c r="K14">
        <f t="shared" ca="1" si="2"/>
        <v>161</v>
      </c>
    </row>
    <row r="15" spans="1:11" x14ac:dyDescent="0.25">
      <c r="A15">
        <v>12</v>
      </c>
      <c r="B15" s="12">
        <f t="shared" si="3"/>
        <v>45728</v>
      </c>
      <c r="C15" t="s">
        <v>30</v>
      </c>
      <c r="D15" t="s">
        <v>14</v>
      </c>
      <c r="E15" t="s">
        <v>28</v>
      </c>
      <c r="F15" s="12">
        <f>InvoiceData[[#This Row],[Date]]+30</f>
        <v>45758</v>
      </c>
      <c r="G15" s="20">
        <v>2548</v>
      </c>
      <c r="H15" s="35">
        <f>InvoiceData[[#This Row],[Due Date]]</f>
        <v>45758</v>
      </c>
      <c r="I15" s="20">
        <v>2548</v>
      </c>
      <c r="J15" s="20">
        <f t="shared" si="0"/>
        <v>0</v>
      </c>
      <c r="K15" t="str">
        <f ca="1">IF(AND(I15&lt;G15,TODAY()&gt;F15),TODAY()-F15,"")</f>
        <v/>
      </c>
    </row>
    <row r="16" spans="1:11" x14ac:dyDescent="0.25">
      <c r="A16">
        <v>13</v>
      </c>
      <c r="B16" s="12">
        <f t="shared" si="3"/>
        <v>45738</v>
      </c>
      <c r="C16" t="s">
        <v>50</v>
      </c>
      <c r="D16" t="s">
        <v>51</v>
      </c>
      <c r="E16" t="s">
        <v>28</v>
      </c>
      <c r="F16" s="12">
        <f>InvoiceData[[#This Row],[Date]]+30</f>
        <v>45768</v>
      </c>
      <c r="G16" s="20">
        <v>3584</v>
      </c>
      <c r="H16" s="35">
        <f>InvoiceData[[#This Row],[Due Date]]</f>
        <v>45768</v>
      </c>
      <c r="I16" s="20">
        <v>3000</v>
      </c>
      <c r="J16" s="20">
        <f t="shared" si="0"/>
        <v>584</v>
      </c>
      <c r="K16">
        <f t="shared" ref="K16:K28" ca="1" si="4">IF(AND(I16&lt;G16,TODAY()&gt;F16),TODAY()-F16,"")</f>
        <v>141</v>
      </c>
    </row>
    <row r="17" spans="1:11" x14ac:dyDescent="0.25">
      <c r="A17">
        <v>14</v>
      </c>
      <c r="B17" s="12">
        <f t="shared" si="3"/>
        <v>45748</v>
      </c>
      <c r="C17" t="s">
        <v>18</v>
      </c>
      <c r="D17" t="s">
        <v>51</v>
      </c>
      <c r="E17" t="s">
        <v>16</v>
      </c>
      <c r="F17" s="12">
        <f>InvoiceData[[#This Row],[Date]]+30</f>
        <v>45778</v>
      </c>
      <c r="G17" s="20">
        <v>578</v>
      </c>
      <c r="H17" s="35">
        <f>InvoiceData[[#This Row],[Due Date]]</f>
        <v>45778</v>
      </c>
      <c r="I17" s="20">
        <v>11.714285714285699</v>
      </c>
      <c r="J17" s="20">
        <f t="shared" si="0"/>
        <v>566.28571428571433</v>
      </c>
      <c r="K17">
        <f t="shared" ca="1" si="4"/>
        <v>131</v>
      </c>
    </row>
    <row r="18" spans="1:11" x14ac:dyDescent="0.25">
      <c r="A18">
        <v>15</v>
      </c>
      <c r="B18" s="12">
        <f t="shared" si="3"/>
        <v>45758</v>
      </c>
      <c r="C18" t="s">
        <v>36</v>
      </c>
      <c r="D18" t="s">
        <v>52</v>
      </c>
      <c r="E18" t="s">
        <v>16</v>
      </c>
      <c r="F18" s="12">
        <f>InvoiceData[[#This Row],[Date]]+30</f>
        <v>45788</v>
      </c>
      <c r="G18" s="20">
        <v>111</v>
      </c>
      <c r="H18" s="35">
        <f>InvoiceData[[#This Row],[Due Date]]</f>
        <v>45788</v>
      </c>
      <c r="I18" s="20">
        <v>111</v>
      </c>
      <c r="J18" s="20">
        <f t="shared" si="0"/>
        <v>0</v>
      </c>
      <c r="K18" t="str">
        <f t="shared" ca="1" si="4"/>
        <v/>
      </c>
    </row>
    <row r="19" spans="1:11" x14ac:dyDescent="0.25">
      <c r="A19">
        <v>16</v>
      </c>
      <c r="B19" s="12">
        <f t="shared" si="3"/>
        <v>45768</v>
      </c>
      <c r="C19" t="s">
        <v>50</v>
      </c>
      <c r="D19" t="s">
        <v>49</v>
      </c>
      <c r="E19" t="s">
        <v>16</v>
      </c>
      <c r="F19" s="12">
        <f>InvoiceData[[#This Row],[Date]]+30</f>
        <v>45798</v>
      </c>
      <c r="G19" s="20">
        <v>910</v>
      </c>
      <c r="I19" s="20">
        <v>0</v>
      </c>
      <c r="J19" s="20">
        <f t="shared" si="0"/>
        <v>910</v>
      </c>
      <c r="K19">
        <f t="shared" ca="1" si="4"/>
        <v>111</v>
      </c>
    </row>
    <row r="20" spans="1:11" x14ac:dyDescent="0.25">
      <c r="A20">
        <v>17</v>
      </c>
      <c r="B20" s="12">
        <f t="shared" si="3"/>
        <v>45778</v>
      </c>
      <c r="C20" t="s">
        <v>29</v>
      </c>
      <c r="D20" t="s">
        <v>52</v>
      </c>
      <c r="E20" t="s">
        <v>16</v>
      </c>
      <c r="F20" s="12">
        <f>InvoiceData[[#This Row],[Date]]+30</f>
        <v>45808</v>
      </c>
      <c r="G20" s="20">
        <v>448</v>
      </c>
      <c r="H20" s="35">
        <f>InvoiceData[[#This Row],[Due Date]]</f>
        <v>45808</v>
      </c>
      <c r="I20" s="20">
        <v>448</v>
      </c>
      <c r="J20" s="20">
        <f t="shared" si="0"/>
        <v>0</v>
      </c>
      <c r="K20" t="str">
        <f t="shared" ca="1" si="4"/>
        <v/>
      </c>
    </row>
    <row r="21" spans="1:11" x14ac:dyDescent="0.25">
      <c r="A21">
        <v>18</v>
      </c>
      <c r="B21" s="12">
        <f t="shared" si="3"/>
        <v>45788</v>
      </c>
      <c r="C21" t="s">
        <v>30</v>
      </c>
      <c r="D21" t="s">
        <v>49</v>
      </c>
      <c r="E21" t="s">
        <v>16</v>
      </c>
      <c r="F21" s="12">
        <f>InvoiceData[[#This Row],[Date]]+30</f>
        <v>45818</v>
      </c>
      <c r="G21" s="20">
        <v>919</v>
      </c>
      <c r="J21" s="20">
        <f t="shared" si="0"/>
        <v>919</v>
      </c>
      <c r="K21">
        <f t="shared" ca="1" si="4"/>
        <v>91</v>
      </c>
    </row>
    <row r="22" spans="1:11" x14ac:dyDescent="0.25">
      <c r="A22">
        <v>19</v>
      </c>
      <c r="B22" s="12">
        <f t="shared" si="3"/>
        <v>45798</v>
      </c>
      <c r="C22" t="s">
        <v>18</v>
      </c>
      <c r="D22" t="s">
        <v>51</v>
      </c>
      <c r="E22" t="s">
        <v>28</v>
      </c>
      <c r="F22" s="12">
        <f>InvoiceData[[#This Row],[Date]]+30</f>
        <v>45828</v>
      </c>
      <c r="G22" s="20">
        <v>622</v>
      </c>
      <c r="H22" s="35">
        <f>InvoiceData[[#This Row],[Due Date]]</f>
        <v>45828</v>
      </c>
      <c r="I22" s="20">
        <v>300</v>
      </c>
      <c r="J22" s="20">
        <f t="shared" si="0"/>
        <v>322</v>
      </c>
      <c r="K22">
        <f t="shared" ca="1" si="4"/>
        <v>81</v>
      </c>
    </row>
    <row r="23" spans="1:11" x14ac:dyDescent="0.25">
      <c r="A23">
        <v>20</v>
      </c>
      <c r="B23" s="12">
        <f t="shared" si="3"/>
        <v>45808</v>
      </c>
      <c r="C23" t="s">
        <v>29</v>
      </c>
      <c r="D23" t="s">
        <v>49</v>
      </c>
      <c r="E23" t="s">
        <v>28</v>
      </c>
      <c r="F23" s="12">
        <f>InvoiceData[[#This Row],[Date]]+30</f>
        <v>45838</v>
      </c>
      <c r="G23" s="20">
        <v>781</v>
      </c>
      <c r="J23" s="20">
        <f t="shared" si="0"/>
        <v>781</v>
      </c>
      <c r="K23">
        <f t="shared" ca="1" si="4"/>
        <v>71</v>
      </c>
    </row>
    <row r="24" spans="1:11" x14ac:dyDescent="0.25">
      <c r="A24">
        <v>21</v>
      </c>
      <c r="B24" s="12">
        <f t="shared" si="3"/>
        <v>45818</v>
      </c>
      <c r="C24" t="s">
        <v>30</v>
      </c>
      <c r="D24" t="s">
        <v>14</v>
      </c>
      <c r="E24" t="s">
        <v>28</v>
      </c>
      <c r="F24" s="12">
        <f>InvoiceData[[#This Row],[Date]]+30</f>
        <v>45848</v>
      </c>
      <c r="G24" s="20">
        <v>692</v>
      </c>
      <c r="J24" s="20">
        <f t="shared" si="0"/>
        <v>692</v>
      </c>
      <c r="K24">
        <f t="shared" ca="1" si="4"/>
        <v>61</v>
      </c>
    </row>
    <row r="25" spans="1:11" x14ac:dyDescent="0.25">
      <c r="A25">
        <v>22</v>
      </c>
      <c r="B25" s="12">
        <f t="shared" si="3"/>
        <v>45828</v>
      </c>
      <c r="C25" t="s">
        <v>50</v>
      </c>
      <c r="D25" t="s">
        <v>51</v>
      </c>
      <c r="E25" t="s">
        <v>28</v>
      </c>
      <c r="F25" s="12">
        <f>InvoiceData[[#This Row],[Date]]+30</f>
        <v>45858</v>
      </c>
      <c r="G25" s="20">
        <v>646</v>
      </c>
      <c r="H25" s="35">
        <f>InvoiceData[[#This Row],[Due Date]]</f>
        <v>45858</v>
      </c>
      <c r="I25" s="20">
        <v>500</v>
      </c>
      <c r="J25" s="20">
        <f t="shared" si="0"/>
        <v>146</v>
      </c>
      <c r="K25">
        <f t="shared" ca="1" si="4"/>
        <v>51</v>
      </c>
    </row>
    <row r="26" spans="1:11" x14ac:dyDescent="0.25">
      <c r="A26">
        <v>23</v>
      </c>
      <c r="B26" s="12">
        <f t="shared" si="3"/>
        <v>45838</v>
      </c>
      <c r="C26" t="s">
        <v>18</v>
      </c>
      <c r="D26" t="s">
        <v>51</v>
      </c>
      <c r="E26" t="s">
        <v>16</v>
      </c>
      <c r="F26" s="12">
        <f>InvoiceData[[#This Row],[Date]]+30</f>
        <v>45868</v>
      </c>
      <c r="G26" s="20">
        <v>462</v>
      </c>
      <c r="H26" s="35">
        <f>InvoiceData[[#This Row],[Due Date]]</f>
        <v>45868</v>
      </c>
      <c r="I26" s="20">
        <v>400</v>
      </c>
      <c r="J26" s="20">
        <f t="shared" si="0"/>
        <v>62</v>
      </c>
      <c r="K26">
        <f t="shared" ca="1" si="4"/>
        <v>41</v>
      </c>
    </row>
    <row r="27" spans="1:11" x14ac:dyDescent="0.25">
      <c r="A27">
        <v>24</v>
      </c>
      <c r="B27" s="12">
        <f t="shared" si="3"/>
        <v>45848</v>
      </c>
      <c r="C27" t="s">
        <v>36</v>
      </c>
      <c r="D27" t="s">
        <v>52</v>
      </c>
      <c r="E27" t="s">
        <v>16</v>
      </c>
      <c r="F27" s="12">
        <f>InvoiceData[[#This Row],[Date]]+30</f>
        <v>45878</v>
      </c>
      <c r="G27" s="20">
        <v>358</v>
      </c>
      <c r="H27" s="35">
        <f>InvoiceData[[#This Row],[Due Date]]</f>
        <v>45878</v>
      </c>
      <c r="I27" s="20">
        <v>358</v>
      </c>
      <c r="J27" s="20">
        <f t="shared" si="0"/>
        <v>0</v>
      </c>
      <c r="K27" t="str">
        <f t="shared" ca="1" si="4"/>
        <v/>
      </c>
    </row>
    <row r="28" spans="1:11" x14ac:dyDescent="0.25">
      <c r="A28">
        <v>25</v>
      </c>
      <c r="B28" s="12">
        <f t="shared" si="3"/>
        <v>45858</v>
      </c>
      <c r="C28" t="s">
        <v>50</v>
      </c>
      <c r="D28" t="s">
        <v>49</v>
      </c>
      <c r="E28" t="s">
        <v>16</v>
      </c>
      <c r="F28" s="12">
        <f>InvoiceData[[#This Row],[Date]]+30</f>
        <v>45888</v>
      </c>
      <c r="G28" s="20">
        <v>649</v>
      </c>
      <c r="H28" s="35">
        <f>InvoiceData[[#This Row],[Due Date]]</f>
        <v>45888</v>
      </c>
      <c r="J28" s="20">
        <f>IFERROR(G28-I28,"")</f>
        <v>649</v>
      </c>
      <c r="K28">
        <f t="shared" ca="1" si="4"/>
        <v>21</v>
      </c>
    </row>
    <row r="29" spans="1:11" x14ac:dyDescent="0.25">
      <c r="A29">
        <v>26</v>
      </c>
      <c r="B29" s="12">
        <v>45868</v>
      </c>
      <c r="C29" t="s">
        <v>77</v>
      </c>
      <c r="D29" t="s">
        <v>49</v>
      </c>
      <c r="E29" t="s">
        <v>16</v>
      </c>
      <c r="F29" s="12">
        <f>InvoiceData[[#This Row],[Date]]+30</f>
        <v>45898</v>
      </c>
      <c r="G29" s="20">
        <v>859</v>
      </c>
      <c r="I29" s="20">
        <v>0</v>
      </c>
      <c r="J29" s="20">
        <f>IFERROR(G29-I29,"")</f>
        <v>859</v>
      </c>
      <c r="K29">
        <f ca="1">IF(AND(I29&lt;G29,TODAY()&gt;F29),TODAY()-F29,"")</f>
        <v>11</v>
      </c>
    </row>
  </sheetData>
  <mergeCells count="1">
    <mergeCell ref="A1:K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581C0-B77B-4BBF-B700-7B2AEE476E0C}">
  <sheetPr codeName="Sheet3"/>
  <dimension ref="F1:Z34"/>
  <sheetViews>
    <sheetView topLeftCell="C3" workbookViewId="0">
      <selection activeCell="W5" sqref="W5"/>
    </sheetView>
  </sheetViews>
  <sheetFormatPr defaultRowHeight="15" x14ac:dyDescent="0.25"/>
  <cols>
    <col min="2" max="2" width="24.7109375" bestFit="1" customWidth="1"/>
    <col min="3" max="3" width="13.85546875" bestFit="1" customWidth="1"/>
    <col min="6" max="6" width="13.42578125" style="33" bestFit="1" customWidth="1"/>
    <col min="7" max="7" width="12.140625" bestFit="1" customWidth="1"/>
    <col min="9" max="9" width="13.42578125" bestFit="1" customWidth="1"/>
    <col min="10" max="10" width="16.5703125" bestFit="1" customWidth="1"/>
    <col min="11" max="11" width="13.85546875" bestFit="1" customWidth="1"/>
    <col min="12" max="12" width="7" bestFit="1" customWidth="1"/>
    <col min="13" max="13" width="2.85546875" bestFit="1" customWidth="1"/>
    <col min="14" max="14" width="17.7109375" bestFit="1" customWidth="1"/>
    <col min="15" max="15" width="42.28515625" bestFit="1" customWidth="1"/>
    <col min="16" max="16" width="3.28515625" bestFit="1" customWidth="1"/>
    <col min="17" max="17" width="3.85546875" bestFit="1" customWidth="1"/>
    <col min="18" max="18" width="12.28515625" bestFit="1" customWidth="1"/>
    <col min="19" max="19" width="14.7109375" bestFit="1" customWidth="1"/>
    <col min="20" max="20" width="17.28515625" style="20" bestFit="1" customWidth="1"/>
    <col min="21" max="21" width="7.85546875" bestFit="1" customWidth="1"/>
    <col min="22" max="22" width="12.28515625" bestFit="1" customWidth="1"/>
    <col min="23" max="23" width="17.28515625" bestFit="1" customWidth="1"/>
    <col min="24" max="24" width="10.28515625" bestFit="1" customWidth="1"/>
    <col min="25" max="25" width="21.7109375" bestFit="1" customWidth="1"/>
    <col min="26" max="26" width="16.7109375" bestFit="1" customWidth="1"/>
    <col min="27" max="27" width="11.7109375" bestFit="1" customWidth="1"/>
  </cols>
  <sheetData>
    <row r="1" spans="6:26" x14ac:dyDescent="0.25">
      <c r="F1"/>
    </row>
    <row r="2" spans="6:26" x14ac:dyDescent="0.25">
      <c r="F2" s="38" t="s">
        <v>74</v>
      </c>
      <c r="G2" s="37"/>
      <c r="I2" s="37" t="s">
        <v>75</v>
      </c>
      <c r="J2" s="37"/>
      <c r="L2" s="61" t="s">
        <v>68</v>
      </c>
      <c r="M2" s="61"/>
      <c r="N2" s="61"/>
      <c r="O2" s="61"/>
      <c r="S2" s="61" t="s">
        <v>78</v>
      </c>
      <c r="T2" s="61"/>
      <c r="V2" s="61" t="s">
        <v>79</v>
      </c>
      <c r="W2" s="61"/>
      <c r="Y2" s="61" t="s">
        <v>106</v>
      </c>
      <c r="Z2" s="61"/>
    </row>
    <row r="3" spans="6:26" x14ac:dyDescent="0.25">
      <c r="F3" s="30" t="s">
        <v>53</v>
      </c>
      <c r="G3" t="s">
        <v>61</v>
      </c>
      <c r="I3" s="30" t="s">
        <v>53</v>
      </c>
      <c r="J3" t="s">
        <v>58</v>
      </c>
      <c r="L3" t="s">
        <v>69</v>
      </c>
      <c r="M3">
        <f ca="1">COUNTIF(InvoiceData[Days Overdue],"")</f>
        <v>6</v>
      </c>
      <c r="N3" s="20">
        <f ca="1">SUMIF(InvoiceData[Days Overdue],"",InvoiceData[Balance])</f>
        <v>-193</v>
      </c>
      <c r="O3" t="str">
        <f ca="1">M3&amp;" Invoices are current "&amp;TEXT(N3,"_($* #,##0.00"&amp;"")</f>
        <v>6 Invoices are current - $193.00</v>
      </c>
      <c r="S3" s="30" t="s">
        <v>53</v>
      </c>
      <c r="T3" t="s">
        <v>76</v>
      </c>
      <c r="V3" s="30" t="s">
        <v>53</v>
      </c>
      <c r="W3" t="s">
        <v>76</v>
      </c>
      <c r="Y3" s="30" t="s">
        <v>53</v>
      </c>
      <c r="Z3" t="s">
        <v>107</v>
      </c>
    </row>
    <row r="4" spans="6:26" x14ac:dyDescent="0.25">
      <c r="F4" s="31" t="s">
        <v>49</v>
      </c>
      <c r="G4" s="32">
        <v>6518</v>
      </c>
      <c r="I4" s="31" t="s">
        <v>119</v>
      </c>
      <c r="J4" s="32">
        <v>0</v>
      </c>
      <c r="L4" s="36" t="s">
        <v>73</v>
      </c>
      <c r="M4">
        <f ca="1">COUNTIFS(InvoiceData[Days Overdue],"&lt;="&amp;30,InvoiceData[Days Overdue],"&gt;"&amp;0)</f>
        <v>2</v>
      </c>
      <c r="N4" s="20">
        <f ca="1">SUMIFS(InvoiceData[Balance],InvoiceData[Days Overdue],"&lt;="&amp;30,InvoiceData[Days Overdue],"&gt;"&amp;0)</f>
        <v>1508</v>
      </c>
      <c r="O4" t="str">
        <f ca="1">M4&amp;" Invoices are 1 to 30 days overdue "&amp;TEXT(N4,"_($* #,##0.00"&amp;"")</f>
        <v>2 Invoices are 1 to 30 days overdue  $1,508.00</v>
      </c>
      <c r="S4" s="31" t="s">
        <v>33</v>
      </c>
      <c r="T4" s="39">
        <v>245</v>
      </c>
      <c r="V4" s="31" t="s">
        <v>27</v>
      </c>
      <c r="W4" s="39">
        <v>5128.3809523809532</v>
      </c>
      <c r="Y4" s="31" t="s">
        <v>86</v>
      </c>
      <c r="Z4" s="41">
        <v>8826.9999999999945</v>
      </c>
    </row>
    <row r="5" spans="6:26" x14ac:dyDescent="0.25">
      <c r="F5" s="31" t="s">
        <v>52</v>
      </c>
      <c r="G5" s="32">
        <v>1696</v>
      </c>
      <c r="I5" s="51" t="s">
        <v>121</v>
      </c>
      <c r="J5" s="32">
        <v>0</v>
      </c>
      <c r="L5" t="s">
        <v>70</v>
      </c>
      <c r="M5">
        <f ca="1">COUNTIFS(InvoiceData[Days Overdue],"&gt;"&amp;30,InvoiceData[Days Overdue],"&lt;="&amp;60)</f>
        <v>2</v>
      </c>
      <c r="N5" s="20">
        <f ca="1">SUMIFS(InvoiceData[Balance],InvoiceData[Days Overdue],"&lt;="&amp;60,InvoiceData[Days Overdue],"&gt;"&amp;30)</f>
        <v>208</v>
      </c>
      <c r="O5" t="str">
        <f ca="1">M5&amp;" Invoices are 31  to 60 days overdue "&amp;TEXT(N5,"_($* #,##0.00"&amp;"")</f>
        <v>2 Invoices are 31  to 60 days overdue  $208.00</v>
      </c>
      <c r="S5" s="31" t="s">
        <v>29</v>
      </c>
      <c r="T5" s="39">
        <v>245</v>
      </c>
      <c r="V5" s="31" t="s">
        <v>23</v>
      </c>
      <c r="W5" s="39">
        <v>1695</v>
      </c>
      <c r="Y5" s="31" t="s">
        <v>104</v>
      </c>
      <c r="Z5" s="41">
        <v>5080.6904761904734</v>
      </c>
    </row>
    <row r="6" spans="6:26" x14ac:dyDescent="0.25">
      <c r="F6" s="31" t="s">
        <v>51</v>
      </c>
      <c r="G6" s="32">
        <v>4013</v>
      </c>
      <c r="I6" s="31" t="s">
        <v>59</v>
      </c>
      <c r="J6" s="32">
        <v>450</v>
      </c>
      <c r="L6" t="s">
        <v>71</v>
      </c>
      <c r="M6">
        <f ca="1">COUNTIFS(InvoiceData[Days Overdue],"&gt;"&amp;60,InvoiceData[Days Overdue],"&lt;="&amp;90)</f>
        <v>3</v>
      </c>
      <c r="N6" s="20">
        <f ca="1">SUMIFS(InvoiceData[Balance],InvoiceData[Days Overdue],"&lt;="&amp;90,InvoiceData[Days Overdue],"&gt;"&amp;60)</f>
        <v>1795</v>
      </c>
      <c r="O6" t="str">
        <f ca="1">M6&amp;" Invoices are 61 to 90 days overdue "&amp;TEXT(N6,"_($* #,##0.00"&amp;"")</f>
        <v>3 Invoices are 61 to 90 days overdue  $1,795.00</v>
      </c>
      <c r="S6" s="31" t="s">
        <v>35</v>
      </c>
      <c r="T6" s="39">
        <v>251</v>
      </c>
      <c r="V6" s="31" t="s">
        <v>32</v>
      </c>
      <c r="W6" s="39">
        <v>1251</v>
      </c>
      <c r="Y6" s="31" t="s">
        <v>92</v>
      </c>
      <c r="Z6" s="41">
        <v>4813.9285714285734</v>
      </c>
    </row>
    <row r="7" spans="6:26" x14ac:dyDescent="0.25">
      <c r="F7" s="31" t="s">
        <v>14</v>
      </c>
      <c r="G7" s="32">
        <v>1575.5</v>
      </c>
      <c r="I7" s="52">
        <v>45672</v>
      </c>
      <c r="J7" s="32">
        <v>450</v>
      </c>
      <c r="L7" t="s">
        <v>72</v>
      </c>
      <c r="M7">
        <f ca="1">COUNTIF(InvoiceData[Days Overdue],"&gt;="&amp;90)</f>
        <v>13</v>
      </c>
      <c r="N7" s="20">
        <f ca="1">SUMIF(InvoiceData[Days Overdue],"&gt;="&amp;90,InvoiceData[Balance])</f>
        <v>6557.7857142857147</v>
      </c>
      <c r="O7" t="str">
        <f ca="1">M7&amp;" Invoices are greater than 90 days overdue "&amp;TEXT(N7,"_($* #,##0.00"&amp;"")</f>
        <v>13 Invoices are greater than 90 days overdue  $6,557.79</v>
      </c>
      <c r="S7" s="31" t="s">
        <v>18</v>
      </c>
      <c r="T7" s="39">
        <v>605</v>
      </c>
      <c r="V7" s="31" t="s">
        <v>14</v>
      </c>
      <c r="W7" s="39">
        <v>13349.690476190472</v>
      </c>
      <c r="Y7" s="31" t="s">
        <v>98</v>
      </c>
      <c r="Z7" s="41">
        <v>4255</v>
      </c>
    </row>
    <row r="8" spans="6:26" x14ac:dyDescent="0.25">
      <c r="F8" s="34" t="s">
        <v>54</v>
      </c>
      <c r="G8" s="32">
        <v>13802.5</v>
      </c>
      <c r="I8" s="31" t="s">
        <v>60</v>
      </c>
      <c r="J8" s="32">
        <v>388</v>
      </c>
      <c r="S8" s="31" t="s">
        <v>26</v>
      </c>
      <c r="T8" s="39">
        <v>850</v>
      </c>
      <c r="V8" s="31" t="s">
        <v>54</v>
      </c>
      <c r="W8" s="39">
        <v>21424.071428571424</v>
      </c>
      <c r="Y8" s="31" t="s">
        <v>102</v>
      </c>
      <c r="Z8" s="41">
        <v>3943.5595238095229</v>
      </c>
    </row>
    <row r="9" spans="6:26" x14ac:dyDescent="0.25">
      <c r="F9"/>
      <c r="I9" s="52">
        <v>45703</v>
      </c>
      <c r="J9" s="32">
        <v>100</v>
      </c>
      <c r="N9" s="61" t="s">
        <v>109</v>
      </c>
      <c r="O9" s="61"/>
      <c r="S9" s="31" t="s">
        <v>34</v>
      </c>
      <c r="T9" s="39">
        <v>933.33333333333303</v>
      </c>
      <c r="Y9" s="31" t="s">
        <v>88</v>
      </c>
      <c r="Z9" s="41">
        <v>3588.3095238095229</v>
      </c>
    </row>
    <row r="10" spans="6:26" x14ac:dyDescent="0.25">
      <c r="F10"/>
      <c r="I10" s="52">
        <v>45708</v>
      </c>
      <c r="J10" s="32">
        <v>200</v>
      </c>
      <c r="N10" t="s">
        <v>108</v>
      </c>
      <c r="O10" s="42">
        <f ca="1">TODAY()</f>
        <v>45909</v>
      </c>
      <c r="S10" s="31" t="s">
        <v>30</v>
      </c>
      <c r="T10" s="39">
        <v>1450</v>
      </c>
      <c r="Y10" s="31" t="s">
        <v>100</v>
      </c>
      <c r="Z10" s="41">
        <v>2846.4047619047633</v>
      </c>
    </row>
    <row r="11" spans="6:26" x14ac:dyDescent="0.25">
      <c r="F11"/>
      <c r="I11" s="52">
        <v>45713</v>
      </c>
      <c r="J11" s="32">
        <v>88</v>
      </c>
      <c r="N11" t="s">
        <v>110</v>
      </c>
      <c r="O11" s="31">
        <f>COUNTIFS(BillData[Status],"Unpaid")+COUNTIFS(BillData[Status],"Partially Paid")</f>
        <v>23</v>
      </c>
      <c r="S11" s="31" t="s">
        <v>13</v>
      </c>
      <c r="T11" s="39">
        <v>4378.333333333333</v>
      </c>
      <c r="Y11" s="31" t="s">
        <v>90</v>
      </c>
      <c r="Z11" s="41">
        <v>2681.6190476190532</v>
      </c>
    </row>
    <row r="12" spans="6:26" x14ac:dyDescent="0.25">
      <c r="F12"/>
      <c r="I12" s="31" t="s">
        <v>57</v>
      </c>
      <c r="J12" s="32">
        <v>450</v>
      </c>
      <c r="N12" t="s">
        <v>111</v>
      </c>
      <c r="O12" s="43">
        <f>SUM(BillData[Amount Due])</f>
        <v>21424.071428571424</v>
      </c>
      <c r="S12" s="31" t="s">
        <v>31</v>
      </c>
      <c r="T12" s="39">
        <v>4728.3809523809532</v>
      </c>
      <c r="Y12" s="31" t="s">
        <v>94</v>
      </c>
      <c r="Z12" s="41">
        <v>2541.2380952380931</v>
      </c>
    </row>
    <row r="13" spans="6:26" x14ac:dyDescent="0.25">
      <c r="F13"/>
      <c r="I13" s="52">
        <v>45738</v>
      </c>
      <c r="J13" s="32">
        <v>450</v>
      </c>
      <c r="N13" t="s">
        <v>112</v>
      </c>
      <c r="O13" s="31">
        <f>COUNTIFS(InvoiceData[Status],"&lt;&gt;Paid")</f>
        <v>21</v>
      </c>
      <c r="S13" s="31" t="s">
        <v>22</v>
      </c>
      <c r="T13" s="39">
        <v>7738.0238095238074</v>
      </c>
      <c r="Y13" s="31" t="s">
        <v>96</v>
      </c>
      <c r="Z13" s="41">
        <v>1684.5714285714271</v>
      </c>
    </row>
    <row r="14" spans="6:26" x14ac:dyDescent="0.25">
      <c r="F14"/>
      <c r="I14" s="31" t="s">
        <v>63</v>
      </c>
      <c r="J14" s="32">
        <v>38.142857142857196</v>
      </c>
      <c r="N14" t="s">
        <v>113</v>
      </c>
      <c r="O14" s="44">
        <f>SUM(InvoiceData[Balance])</f>
        <v>9875.7857142857138</v>
      </c>
      <c r="S14" s="31" t="s">
        <v>54</v>
      </c>
      <c r="T14" s="39">
        <v>21424.071428571424</v>
      </c>
      <c r="Y14" s="31" t="s">
        <v>54</v>
      </c>
      <c r="Z14" s="41">
        <v>40262.32142857142</v>
      </c>
    </row>
    <row r="15" spans="6:26" x14ac:dyDescent="0.25">
      <c r="F15"/>
      <c r="I15" s="52">
        <v>45758</v>
      </c>
      <c r="J15" s="32">
        <v>21.5238095238096</v>
      </c>
      <c r="N15" s="12" t="str">
        <f ca="1">UPPER(TEXT(DATE(YEAR(TODAY()),MONTH(TODAY()),1),"mmmm"))&amp;" CASH FLOW"</f>
        <v>SEPTEMBER CASH FLOW</v>
      </c>
      <c r="O15" s="45">
        <f ca="1">SUMIFS(InvoiceData[Total Paid],InvoiceData[Payment Date],"&gt;="&amp;DATE(YEAR(TODAY()),MONTH(TODAY()),1),InvoiceData[Payment Date],"&lt;="&amp;EOMONTH(DATE(YEAR(TODAY()),MONTH(TODAY()),1),0))-SUMIFS(BillData[Paid Amount],BillData[Paid Date],"&gt;="&amp;DATE(YEAR(TODAY()),MONTH(TODAY()),1),BillData[Paid Date],"&lt;="&amp;EOMONTH(DATE(YEAR(TODAY()),MONTH(TODAY()),1),0))</f>
        <v>0</v>
      </c>
      <c r="T15"/>
    </row>
    <row r="16" spans="6:26" x14ac:dyDescent="0.25">
      <c r="F16"/>
      <c r="I16" s="52">
        <v>45768</v>
      </c>
      <c r="J16" s="32">
        <v>16.619047619047599</v>
      </c>
      <c r="T16"/>
    </row>
    <row r="17" spans="6:20" x14ac:dyDescent="0.25">
      <c r="F17"/>
      <c r="I17" s="31" t="s">
        <v>64</v>
      </c>
      <c r="J17" s="32">
        <v>570.71428571428567</v>
      </c>
      <c r="N17" s="61" t="s">
        <v>115</v>
      </c>
      <c r="O17" s="61"/>
      <c r="T17"/>
    </row>
    <row r="18" spans="6:20" x14ac:dyDescent="0.25">
      <c r="F18"/>
      <c r="I18" s="52">
        <v>45778</v>
      </c>
      <c r="J18" s="32">
        <v>11.714285714285699</v>
      </c>
      <c r="N18" s="46">
        <f ca="1">SUMIFS(InvoiceData[Total Paid],InvoiceData[Payment Date],"&gt;="&amp;DATE(YEAR(TODAY()),1,1),InvoiceData[Payment Date],"&lt;="&amp;DATE(YEAR(TODAY()),12,31))</f>
        <v>8964.7142857142862</v>
      </c>
      <c r="O18" t="str">
        <f ca="1">"TOTAL "&amp;YEAR(TODAY())&amp;" PAYMENTS"</f>
        <v>TOTAL 2025 PAYMENTS</v>
      </c>
      <c r="T18"/>
    </row>
    <row r="19" spans="6:20" x14ac:dyDescent="0.25">
      <c r="F19"/>
      <c r="I19" s="52">
        <v>45788</v>
      </c>
      <c r="J19" s="32">
        <v>111</v>
      </c>
      <c r="N19" s="46">
        <f ca="1">SUMIFS(InvoiceData[Total Paid],InvoiceData[Payment Date],"&gt;="&amp;DATE(YEAR(TODAY()),MONTH(TODAY()),1),InvoiceData[Payment Date],"&lt;="&amp;EOMONTH(DATE(YEAR(TODAY()),MONTH(TODAY()),31),0))</f>
        <v>0</v>
      </c>
      <c r="O19" t="str">
        <f ca="1">"TOTAL "&amp;UPPER(TEXT(TODAY(),"mmmm"))&amp;" PAYMENTS"</f>
        <v>TOTAL SEPTEMBER PAYMENTS</v>
      </c>
      <c r="T19"/>
    </row>
    <row r="20" spans="6:20" x14ac:dyDescent="0.25">
      <c r="F20"/>
      <c r="I20" s="52">
        <v>45808</v>
      </c>
      <c r="J20" s="32">
        <v>448</v>
      </c>
      <c r="R20" s="12"/>
      <c r="T20"/>
    </row>
    <row r="21" spans="6:20" x14ac:dyDescent="0.25">
      <c r="F21"/>
      <c r="I21" s="31" t="s">
        <v>65</v>
      </c>
      <c r="J21" s="32">
        <v>300</v>
      </c>
      <c r="S21" s="12"/>
    </row>
    <row r="22" spans="6:20" x14ac:dyDescent="0.25">
      <c r="F22"/>
      <c r="I22" s="52">
        <v>45828</v>
      </c>
      <c r="J22" s="32">
        <v>300</v>
      </c>
      <c r="N22" s="61" t="s">
        <v>114</v>
      </c>
      <c r="O22" s="61"/>
    </row>
    <row r="23" spans="6:20" x14ac:dyDescent="0.25">
      <c r="F23"/>
      <c r="I23" s="31" t="s">
        <v>66</v>
      </c>
      <c r="J23" s="32">
        <v>900</v>
      </c>
      <c r="N23" s="41">
        <f ca="1">SUMIFS(BillData[Amount Due],BillData[Due Date],"&gt;="&amp;TODAY() - WEEKDAY(TODAY(), 2) + 1,BillData[Due Date],"&lt;="&amp;TODAY() - WEEKDAY(TODAY(), 2) + 7)</f>
        <v>0</v>
      </c>
      <c r="O23" t="str">
        <f ca="1">TEXT(N23,"_($* #,##0.00")&amp;" Bills due this week"</f>
        <v xml:space="preserve"> $0.00 Bills due this week</v>
      </c>
      <c r="R23" s="12"/>
      <c r="S23" s="12"/>
    </row>
    <row r="24" spans="6:20" x14ac:dyDescent="0.25">
      <c r="F24"/>
      <c r="I24" s="52">
        <v>45858</v>
      </c>
      <c r="J24" s="32">
        <v>500</v>
      </c>
      <c r="N24" s="41">
        <f ca="1">SUMIFS(BillData[Amount Due],BillData[Due Date],"&gt;="&amp;DATE(YEAR(TODAY()),MONTH(TODAY()),1),BillData[Due Date],"&lt;="&amp;EOMONTH(DATE(YEAR(TODAY()),MONTH(TODAY()),1),0))</f>
        <v>0</v>
      </c>
      <c r="O24" t="str">
        <f ca="1">TEXT(N24,"_($* #,##0.00")&amp;" Bills due this month"</f>
        <v xml:space="preserve"> $0.00 Bills due this month</v>
      </c>
      <c r="S24" s="12"/>
    </row>
    <row r="25" spans="6:20" x14ac:dyDescent="0.25">
      <c r="F25"/>
      <c r="I25" s="52">
        <v>45868</v>
      </c>
      <c r="J25" s="32">
        <v>400</v>
      </c>
      <c r="N25" s="41">
        <f ca="1">SUMIFS(BillData[Paid Amount],BillData[Due Date],"&gt;="&amp;TODAY() - WEEKDAY(TODAY(), 2) + 1,BillData[Due Date],"&lt;="&amp;TODAY() - WEEKDAY(TODAY(), 2) + 7)</f>
        <v>0</v>
      </c>
      <c r="O25" t="str">
        <f ca="1">TEXT(N25,"_($* #,##0.00")&amp;" Bills paid this week"</f>
        <v xml:space="preserve"> $0.00 Bills paid this week</v>
      </c>
      <c r="S25" s="12"/>
    </row>
    <row r="26" spans="6:20" x14ac:dyDescent="0.25">
      <c r="F26"/>
      <c r="I26" s="31" t="s">
        <v>67</v>
      </c>
      <c r="J26" s="32">
        <v>358</v>
      </c>
      <c r="N26" s="41">
        <f ca="1">SUMIFS(BillData[Paid Amount],BillData[Due Date],"&gt;="&amp;DATE(YEAR(TODAY()),MONTH(TODAY()),1),BillData[Due Date],"&lt;="&amp;EOMONTH(DATE(YEAR(TODAY()),MONTH(TODAY()),1),0))</f>
        <v>0</v>
      </c>
      <c r="O26" t="str">
        <f ca="1">TEXT(N26,"_($* #,##0.00")&amp;" Bills paid this month"</f>
        <v xml:space="preserve"> $0.00 Bills paid this month</v>
      </c>
      <c r="S26" s="12"/>
    </row>
    <row r="27" spans="6:20" x14ac:dyDescent="0.25">
      <c r="F27"/>
      <c r="I27" s="52">
        <v>45878</v>
      </c>
      <c r="J27" s="32">
        <v>358</v>
      </c>
      <c r="N27" s="41"/>
      <c r="R27" s="58"/>
    </row>
    <row r="28" spans="6:20" x14ac:dyDescent="0.25">
      <c r="F28"/>
      <c r="I28" s="52">
        <v>45888</v>
      </c>
      <c r="J28" s="32"/>
      <c r="N28" s="41"/>
      <c r="R28" s="12"/>
    </row>
    <row r="29" spans="6:20" x14ac:dyDescent="0.25">
      <c r="F29"/>
      <c r="I29" s="31" t="s">
        <v>54</v>
      </c>
      <c r="J29" s="32">
        <v>3454.8571428571431</v>
      </c>
      <c r="N29" s="41"/>
    </row>
    <row r="30" spans="6:20" x14ac:dyDescent="0.25">
      <c r="F30"/>
      <c r="N30" s="41"/>
    </row>
    <row r="31" spans="6:20" x14ac:dyDescent="0.25">
      <c r="F31"/>
      <c r="N31" s="41"/>
    </row>
    <row r="32" spans="6:20" x14ac:dyDescent="0.25">
      <c r="F32"/>
      <c r="N32" s="41"/>
    </row>
    <row r="33" spans="6:14" x14ac:dyDescent="0.25">
      <c r="F33"/>
      <c r="N33" s="41"/>
    </row>
    <row r="34" spans="6:14" x14ac:dyDescent="0.25">
      <c r="F34"/>
    </row>
  </sheetData>
  <mergeCells count="7">
    <mergeCell ref="N22:O22"/>
    <mergeCell ref="L2:O2"/>
    <mergeCell ref="V2:W2"/>
    <mergeCell ref="S2:T2"/>
    <mergeCell ref="Y2:Z2"/>
    <mergeCell ref="N9:O9"/>
    <mergeCell ref="N17:O17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37CB3C-8129-4AE5-A615-795A7DFC321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Pivots</vt:lpstr>
      <vt:lpstr>Bills</vt:lpstr>
      <vt:lpstr>Invoices</vt:lpstr>
      <vt:lpstr>Pivot Data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Zulkafal Shahzad</cp:lastModifiedBy>
  <dcterms:created xsi:type="dcterms:W3CDTF">2025-04-07T04:11:20Z</dcterms:created>
  <dcterms:modified xsi:type="dcterms:W3CDTF">2025-09-09T10:47:39Z</dcterms:modified>
</cp:coreProperties>
</file>